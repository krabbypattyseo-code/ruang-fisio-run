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Detail Lap" sheetId="2" state="visible" r:id="rId4"/>
    <sheet name="Analis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<sst xmlns="http://schemas.openxmlformats.org/spreadsheetml/2006/main" count="144" uniqueCount="100">
  <si>
    <t xml:space="preserve">Ringkasan Lari Terbaru — 10 &amp; 14 September 2026</t>
  </si>
  <si>
    <t xml:space="preserve">Sumber: COROS Training Hub (t.coros.com). Diambil 16 September 2026. Baris abu-abu = sesi pembanding dari periode sebelumnya (file 26 Agu–6 Sep).</t>
  </si>
  <si>
    <t xml:space="preserve">No</t>
  </si>
  <si>
    <t xml:space="preserve">Tanggal</t>
  </si>
  <si>
    <t xml:space="preserve">Jam</t>
  </si>
  <si>
    <t xml:space="preserve">Nama Aktivitas</t>
  </si>
  <si>
    <t xml:space="preserve">Training Focus</t>
  </si>
  <si>
    <t xml:space="preserve">Jarak (km)</t>
  </si>
  <si>
    <t xml:space="preserve">Waktu Aktif</t>
  </si>
  <si>
    <t xml:space="preserve">Avg Pace /km</t>
  </si>
  <si>
    <t xml:space="preserve">Best km</t>
  </si>
  <si>
    <t xml:space="preserve">Effort Pace /km</t>
  </si>
  <si>
    <t xml:space="preserve">Avg HR (bpm)</t>
  </si>
  <si>
    <t xml:space="preserve">Avg Power (w)</t>
  </si>
  <si>
    <t xml:space="preserve">Avg Cadence (spm)</t>
  </si>
  <si>
    <t xml:space="preserve">Elev Gain (m)</t>
  </si>
  <si>
    <t xml:space="preserve">Total Descent (m)</t>
  </si>
  <si>
    <t xml:space="preserve">Training Load</t>
  </si>
  <si>
    <t xml:space="preserve">Kalori (kcal)</t>
  </si>
  <si>
    <t xml:space="preserve">Efficiency</t>
  </si>
  <si>
    <t xml:space="preserve">Aerobic TE</t>
  </si>
  <si>
    <t xml:space="preserve">Load / km</t>
  </si>
  <si>
    <t xml:space="preserve">Catatan</t>
  </si>
  <si>
    <t xml:space="preserve">2026-09-10</t>
  </si>
  <si>
    <t xml:space="preserve">19:03</t>
  </si>
  <si>
    <t xml:space="preserve">Jakarta Special Capital Region Run</t>
  </si>
  <si>
    <t xml:space="preserve">Base</t>
  </si>
  <si>
    <t xml:space="preserve">100%</t>
  </si>
  <si>
    <t xml:space="preserve">Sesi aerobik stabil. Pace rata &amp; HR tinggi merata sejak km-2.</t>
  </si>
  <si>
    <t xml:space="preserve">2026-09-14</t>
  </si>
  <si>
    <t xml:space="preserve">20:01</t>
  </si>
  <si>
    <t xml:space="preserve">Jakarta Run</t>
  </si>
  <si>
    <t xml:space="preserve">Tempo</t>
  </si>
  <si>
    <t xml:space="preserve">103%</t>
  </si>
  <si>
    <t xml:space="preserve">Sesi tercepat sejauh ini. Ada surge di km-4 (07'14") lalu tetap terkontrol.</t>
  </si>
  <si>
    <t xml:space="preserve">ref</t>
  </si>
  <si>
    <t xml:space="preserve">2026-09-06</t>
  </si>
  <si>
    <t xml:space="preserve">17:06</t>
  </si>
  <si>
    <t xml:space="preserve">Jakarta Run (pembanding)</t>
  </si>
  <si>
    <t xml:space="preserve">Sesi terakhir di periode sebelumnya — dipakai sebagai titik banding, bukan bagian dari tarikan data ini.</t>
  </si>
  <si>
    <t xml:space="preserve">TOTAL 2 SESI BARU</t>
  </si>
  <si>
    <t xml:space="preserve">Detail Lap — 10 &amp; 14 September 2026</t>
  </si>
  <si>
    <t xml:space="preserve">'Pace (COROS)' = angka apa adanya dari aplikasi. 'Pace Hitung' = Waktu / Jarak (beda tipis di lap pecahan karena pembulatan jarak di app). Baris hijau = lap tercepat sesi itu.</t>
  </si>
  <si>
    <t xml:space="preserve">Lap</t>
  </si>
  <si>
    <t xml:space="preserve">Waktu</t>
  </si>
  <si>
    <t xml:space="preserve">Pace (COROS)</t>
  </si>
  <si>
    <t xml:space="preserve">Pace Hitung /km</t>
  </si>
  <si>
    <t xml:space="preserve">Best Lap</t>
  </si>
  <si>
    <t xml:space="preserve">★</t>
  </si>
  <si>
    <t xml:space="preserve">Analisis — 10 vs 14 September 2026</t>
  </si>
  <si>
    <t xml:space="preserve">Semua angka di sheet ini formula yang menarik dari sheet Ringkasan &amp; Detail Lap.</t>
  </si>
  <si>
    <t xml:space="preserve">A. PERBANDINGAN LANGSUNG 2 SESI</t>
  </si>
  <si>
    <t xml:space="preserve">Metrik</t>
  </si>
  <si>
    <t xml:space="preserve">10 Sep (Base)</t>
  </si>
  <si>
    <t xml:space="preserve">14 Sep (Tempo)</t>
  </si>
  <si>
    <t xml:space="preserve">Selisih</t>
  </si>
  <si>
    <t xml:space="preserve">Baca</t>
  </si>
  <si>
    <t xml:space="preserve">Praktis sama — 5K dua-duanya.</t>
  </si>
  <si>
    <t xml:space="preserve">Waktu aktif</t>
  </si>
  <si>
    <t xml:space="preserve">14 Sep lebih cepat 3 menit 24 detik.</t>
  </si>
  <si>
    <t xml:space="preserve">Avg pace /km</t>
  </si>
  <si>
    <t xml:space="preserve">Turun 39 detik/km — lompatan besar untuk jarak yang sama.</t>
  </si>
  <si>
    <t xml:space="preserve">Km tercepat membaik 1 menit/km.</t>
  </si>
  <si>
    <t xml:space="preserve">HR justru sedikit LEBIH RENDAH walau jauh lebih cepat.</t>
  </si>
  <si>
    <t xml:space="preserve">Avg power (w)</t>
  </si>
  <si>
    <t xml:space="preserve">Naik 10 w — output tenaga lebih besar.</t>
  </si>
  <si>
    <t xml:space="preserve">Avg cadence (spm)</t>
  </si>
  <si>
    <t xml:space="preserve">Naik 6 spm — langkah lebih rapat, bukan langkah lebih panjang.</t>
  </si>
  <si>
    <t xml:space="preserve">Training load</t>
  </si>
  <si>
    <t xml:space="preserve">Load turun karena durasi lebih pendek, walau intensitas naik.</t>
  </si>
  <si>
    <t xml:space="preserve">Sedikit turun; sesi tempo pendek memang skor aerobiknya lebih rendah.</t>
  </si>
  <si>
    <t xml:space="preserve">B. VS SESI PEMBANDING 6 SEP (baris abu-abu di Ringkasan)</t>
  </si>
  <si>
    <t xml:space="preserve">6 Sep</t>
  </si>
  <si>
    <t xml:space="preserve">10 Sep</t>
  </si>
  <si>
    <t xml:space="preserve">14 Sep</t>
  </si>
  <si>
    <t xml:space="preserve">Arah</t>
  </si>
  <si>
    <t xml:space="preserve">08'35" → 08'39" → 08'00": stagnan lalu lompat maju.</t>
  </si>
  <si>
    <t xml:space="preserve">159 → 159 → 157: berhenti naik. Ini sinyal bagus setelah 3 sesi naik beruntun.</t>
  </si>
  <si>
    <t xml:space="preserve">167 → 161 → 167: sempat turun di 10 Sep, balik lagi di 14 Sep.</t>
  </si>
  <si>
    <t xml:space="preserve">115 → 117 → 104: puncak di 10 Sep, lalu turun.</t>
  </si>
  <si>
    <t xml:space="preserve">C. STATISTIK LAP (lap penuh 1.00 km saja)</t>
  </si>
  <si>
    <t xml:space="preserve">Lap 1 km tercepat (2 sesi)</t>
  </si>
  <si>
    <t xml:space="preserve">Km-4 sesi 14 Sep.</t>
  </si>
  <si>
    <t xml:space="preserve">Lap 1 km terlambat (2 sesi)</t>
  </si>
  <si>
    <t xml:space="preserve">Km-1 sesi 10 Sep — warm-up.</t>
  </si>
  <si>
    <t xml:space="preserve">Rata-rata lap 1 km</t>
  </si>
  <si>
    <t xml:space="preserve">Sebaran pace 10 Sep (maks-min)</t>
  </si>
  <si>
    <t xml:space="preserve">Makin kecil = pace makin rata.</t>
  </si>
  <si>
    <t xml:space="preserve">Sebaran pace 14 Sep (maks-min)</t>
  </si>
  <si>
    <t xml:space="preserve">Lebih besar karena ada surge di km-4.</t>
  </si>
  <si>
    <t xml:space="preserve">D. CATATAN &amp; TEMUAN</t>
  </si>
  <si>
    <t xml:space="preserve">1. Sesi 14 Sep adalah lompatan nyata: pace 08'00"/km (dari 08'39" empat hari sebelumnya) dengan HR rata-rata JUSTRU turun 2 bpm. Lebih cepat dengan denyut lebih rendah = adaptasi aerobik yang beneran jalan, bukan sekadar hari yang enak.</t>
  </si>
  <si>
    <t xml:space="preserve">2. COROS sendiri menggolongkan 14 Sep sebagai Tempo (sebelumnya selalu Base), dan Efficiency-nya 103% 'Great' vs 100% 'Good' di 10 Sep.</t>
  </si>
  <si>
    <t xml:space="preserve">3. Cadence adalah pembeda utamanya: 167 spm di 14 Sep vs 161 spm di 10 Sep. Pola yang sama muncul di 3 &amp; 6 Sep — tiap kali cadence kamu ≥167, pace-nya ikut bagus.</t>
  </si>
  <si>
    <t xml:space="preserve">4. Km-4 sesi 14 Sep (07'14"/km, 170 w) jauh lebih cepat dari lap lain — ini surge, bukan pace merata. Sebaran pace sesi itu lebih lebar dari 10 Sep.</t>
  </si>
  <si>
    <t xml:space="preserve">5. Training load justru TURUN (117 → 104) karena durasinya lebih pendek. Jadi sesi tercepat kamu bukan sesi terberat — ini kombinasi yang sehat.</t>
  </si>
  <si>
    <t xml:space="preserve">6. HR rata-rata berhenti naik setelah tiga sesi beruntun (149→157→159→159→157). Tanda pemulihan mulai mengejar beban.</t>
  </si>
  <si>
    <t xml:space="preserve">7. Catatan data: waktu di daftar aktivitas (00:43:26 / 00:40:02) dibulatkan; file ini pakai angka detail (00:43:25,66 / 00:40:01,73).</t>
  </si>
  <si>
    <t xml:space="preserve">8. Di antara dua sesi ini ada Strength 11 &amp; 15 Sep dan 8 Sep — tidak dimasukkan karena kamu minta data lari saja.</t>
  </si>
  <si>
    <t xml:space="preserve">Poin 1-7 dihitung dari data COROS. Poin 8 dari daftar aktivitas COROS. Tidak ada angka di file ini yang diperkirakan.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</si>
</sst>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[h]:mm:ss"/>
    <numFmt numFmtId="167" formatCode="mm:ss"/>
    <numFmt numFmtId="168" formatCode="0.0"/>
    <numFmt numFmtId="169" formatCode="\+0.00;\-0.00;0"/>
    <numFmt numFmtId="170" formatCode="\+0&quot; dtk&quot;;\-0&quot; dtk&quot;;0"/>
    <numFmt numFmtId="171" formatCode="0"/>
    <numFmt numFmtId="172" formatCode="\+0;\-0;0"/>
    <numFmt numFmtId="173" formatCode="\+0.0;\-0.0;0"/>
    <numFmt numFmtId="174" formatCode="0&quot; dtk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7" min="16" style="0" width="11"/>
    <col collapsed="false" customWidth="true" hidden="false" outlineLevel="0" max="20" min="18" style="0" width="10"/>
    <col collapsed="false" customWidth="true" hidden="false" outlineLevel="0" max="21" min="21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customFormat="false" ht="15" hidden="false" customHeight="false" outlineLevel="0" collapsed="false">
      <c r="A5" s="4" t="n">
        <v>1</v>
      </c>
      <c r="B5" s="4" t="s">
        <v>23</v>
      </c>
      <c r="C5" s="4" t="s">
        <v>24</v>
      </c>
      <c r="D5" s="5" t="s">
        <v>25</v>
      </c>
      <c r="E5" s="4" t="s">
        <v>26</v>
      </c>
      <c r="F5" s="6" t="n">
        <v>5.02</v>
      </c>
      <c r="G5" s="7" t="n">
        <v>0.0301581018518519</v>
      </c>
      <c r="H5" s="8" t="n">
        <v>0.00600694444444444</v>
      </c>
      <c r="I5" s="8" t="n">
        <v>0.00569444444444445</v>
      </c>
      <c r="J5" s="8" t="n">
        <v>0.00599537037037037</v>
      </c>
      <c r="K5" s="4" t="n">
        <v>159</v>
      </c>
      <c r="L5" s="4" t="n">
        <v>148</v>
      </c>
      <c r="M5" s="4" t="n">
        <v>161</v>
      </c>
      <c r="N5" s="4" t="n">
        <v>7</v>
      </c>
      <c r="O5" s="4" t="n">
        <v>3</v>
      </c>
      <c r="P5" s="4" t="n">
        <v>117</v>
      </c>
      <c r="Q5" s="4" t="n">
        <v>426</v>
      </c>
      <c r="R5" s="4" t="s">
        <v>27</v>
      </c>
      <c r="S5" s="9" t="n">
        <v>3.3</v>
      </c>
      <c r="T5" s="9" t="n">
        <f aca="false">P5/F5</f>
        <v>23.3067729083665</v>
      </c>
      <c r="U5" s="10" t="s">
        <v>28</v>
      </c>
    </row>
    <row r="6" customFormat="false" ht="23.85" hidden="false" customHeight="false" outlineLevel="0" collapsed="false">
      <c r="A6" s="4" t="n">
        <v>2</v>
      </c>
      <c r="B6" s="4" t="s">
        <v>29</v>
      </c>
      <c r="C6" s="4" t="s">
        <v>30</v>
      </c>
      <c r="D6" s="5" t="s">
        <v>31</v>
      </c>
      <c r="E6" s="4" t="s">
        <v>32</v>
      </c>
      <c r="F6" s="6" t="n">
        <v>5.01</v>
      </c>
      <c r="G6" s="7" t="n">
        <v>0.0277978009259259</v>
      </c>
      <c r="H6" s="8" t="n">
        <v>0.00555555555555556</v>
      </c>
      <c r="I6" s="8" t="n">
        <v>0.005</v>
      </c>
      <c r="J6" s="8" t="n">
        <v>0.00554398148148148</v>
      </c>
      <c r="K6" s="4" t="n">
        <v>157</v>
      </c>
      <c r="L6" s="4" t="n">
        <v>158</v>
      </c>
      <c r="M6" s="4" t="n">
        <v>167</v>
      </c>
      <c r="N6" s="4" t="n">
        <v>8</v>
      </c>
      <c r="O6" s="4" t="n">
        <v>10</v>
      </c>
      <c r="P6" s="4" t="n">
        <v>104</v>
      </c>
      <c r="Q6" s="4" t="n">
        <v>386</v>
      </c>
      <c r="R6" s="4" t="s">
        <v>33</v>
      </c>
      <c r="S6" s="9" t="n">
        <v>3.1</v>
      </c>
      <c r="T6" s="9" t="n">
        <f aca="false">P6/F6</f>
        <v>20.7584830339321</v>
      </c>
      <c r="U6" s="10" t="s">
        <v>34</v>
      </c>
    </row>
    <row r="7" customFormat="false" ht="23.85" hidden="false" customHeight="false" outlineLevel="0" collapsed="false">
      <c r="A7" s="11" t="s">
        <v>35</v>
      </c>
      <c r="B7" s="11" t="s">
        <v>36</v>
      </c>
      <c r="C7" s="11" t="s">
        <v>37</v>
      </c>
      <c r="D7" s="12" t="s">
        <v>38</v>
      </c>
      <c r="E7" s="11" t="s">
        <v>26</v>
      </c>
      <c r="F7" s="13" t="n">
        <v>5.03</v>
      </c>
      <c r="G7" s="14" t="n">
        <v>0.0299768518518519</v>
      </c>
      <c r="H7" s="15" t="n">
        <v>0.00596064814814815</v>
      </c>
      <c r="I7" s="15" t="n">
        <v>0.0055787037037037</v>
      </c>
      <c r="J7" s="15" t="n">
        <v>0.00596064814814815</v>
      </c>
      <c r="K7" s="11" t="n">
        <v>159</v>
      </c>
      <c r="L7" s="11" t="n">
        <v>150</v>
      </c>
      <c r="M7" s="11" t="n">
        <v>167</v>
      </c>
      <c r="N7" s="11" t="n">
        <v>0</v>
      </c>
      <c r="O7" s="11" t="n">
        <v>3</v>
      </c>
      <c r="P7" s="11" t="n">
        <v>115</v>
      </c>
      <c r="Q7" s="11" t="n">
        <v>422</v>
      </c>
      <c r="R7" s="11" t="s">
        <v>27</v>
      </c>
      <c r="S7" s="16" t="n">
        <v>3.3</v>
      </c>
      <c r="T7" s="16" t="n">
        <f aca="false">P7/F7</f>
        <v>22.8628230616302</v>
      </c>
      <c r="U7" s="17" t="s">
        <v>39</v>
      </c>
    </row>
    <row r="8" customFormat="false" ht="15" hidden="false" customHeight="false" outlineLevel="0" collapsed="false">
      <c r="A8" s="18"/>
      <c r="B8" s="18"/>
      <c r="C8" s="18"/>
      <c r="D8" s="19" t="s">
        <v>40</v>
      </c>
      <c r="E8" s="18"/>
      <c r="F8" s="20" t="n">
        <f aca="false">SUM(F5:F6)</f>
        <v>10.03</v>
      </c>
      <c r="G8" s="21" t="n">
        <f aca="false">SUM(G5:G6)</f>
        <v>0.0579559027777778</v>
      </c>
      <c r="H8" s="18"/>
      <c r="I8" s="18"/>
      <c r="J8" s="18"/>
      <c r="K8" s="18"/>
      <c r="L8" s="18"/>
      <c r="M8" s="18"/>
      <c r="N8" s="18"/>
      <c r="O8" s="18"/>
      <c r="P8" s="19" t="n">
        <f aca="false">SUM(P5:P6)</f>
        <v>221</v>
      </c>
      <c r="Q8" s="19" t="n">
        <f aca="false">SUM(Q5:Q6)</f>
        <v>812</v>
      </c>
      <c r="R8" s="18"/>
      <c r="S8" s="18"/>
      <c r="T8" s="18"/>
      <c r="U8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6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9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30" hidden="false" customHeight="true" outlineLevel="0" collapsed="false">
      <c r="A4" s="3" t="s">
        <v>3</v>
      </c>
      <c r="B4" s="3" t="s">
        <v>5</v>
      </c>
      <c r="C4" s="3" t="s">
        <v>43</v>
      </c>
      <c r="D4" s="3" t="s">
        <v>7</v>
      </c>
      <c r="E4" s="3" t="s">
        <v>44</v>
      </c>
      <c r="F4" s="3" t="s">
        <v>45</v>
      </c>
      <c r="G4" s="3" t="s">
        <v>46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47</v>
      </c>
    </row>
    <row r="5" customFormat="false" ht="15" hidden="false" customHeight="false" outlineLevel="0" collapsed="false">
      <c r="A5" s="4" t="s">
        <v>23</v>
      </c>
      <c r="B5" s="5" t="s">
        <v>25</v>
      </c>
      <c r="C5" s="4" t="n">
        <v>1</v>
      </c>
      <c r="D5" s="6" t="n">
        <v>1</v>
      </c>
      <c r="E5" s="7" t="n">
        <v>0.0062037037037037</v>
      </c>
      <c r="F5" s="8" t="n">
        <v>0.0062037037037037</v>
      </c>
      <c r="G5" s="8" t="n">
        <f aca="false">IFERROR(E5/D5,"")</f>
        <v>0.0062037037037037</v>
      </c>
      <c r="H5" s="4" t="n">
        <v>148</v>
      </c>
      <c r="I5" s="4" t="n">
        <v>142</v>
      </c>
      <c r="J5" s="4" t="n">
        <v>159</v>
      </c>
      <c r="K5" s="4" t="n">
        <v>0</v>
      </c>
      <c r="L5" s="4" t="n">
        <v>0</v>
      </c>
      <c r="M5" s="4"/>
    </row>
    <row r="6" customFormat="false" ht="15" hidden="false" customHeight="false" outlineLevel="0" collapsed="false">
      <c r="A6" s="4" t="s">
        <v>23</v>
      </c>
      <c r="B6" s="5" t="s">
        <v>25</v>
      </c>
      <c r="C6" s="4" t="n">
        <v>2</v>
      </c>
      <c r="D6" s="6" t="n">
        <v>1</v>
      </c>
      <c r="E6" s="7" t="n">
        <v>0.00606481481481482</v>
      </c>
      <c r="F6" s="8" t="n">
        <v>0.00606481481481482</v>
      </c>
      <c r="G6" s="8" t="n">
        <f aca="false">IFERROR(E6/D6,"")</f>
        <v>0.00606481481481482</v>
      </c>
      <c r="H6" s="4" t="n">
        <v>159</v>
      </c>
      <c r="I6" s="4" t="n">
        <v>150</v>
      </c>
      <c r="J6" s="4" t="n">
        <v>164</v>
      </c>
      <c r="K6" s="4" t="n">
        <v>2</v>
      </c>
      <c r="L6" s="4" t="n">
        <v>0</v>
      </c>
      <c r="M6" s="4"/>
    </row>
    <row r="7" customFormat="false" ht="15" hidden="false" customHeight="false" outlineLevel="0" collapsed="false">
      <c r="A7" s="22" t="s">
        <v>23</v>
      </c>
      <c r="B7" s="23" t="s">
        <v>25</v>
      </c>
      <c r="C7" s="22" t="n">
        <v>3</v>
      </c>
      <c r="D7" s="24" t="n">
        <v>1</v>
      </c>
      <c r="E7" s="25" t="n">
        <v>0.00577546296296296</v>
      </c>
      <c r="F7" s="26" t="n">
        <v>0.00577546296296296</v>
      </c>
      <c r="G7" s="26" t="n">
        <f aca="false">IFERROR(E7/D7,"")</f>
        <v>0.00577546296296296</v>
      </c>
      <c r="H7" s="22" t="n">
        <v>163</v>
      </c>
      <c r="I7" s="22" t="n">
        <v>153</v>
      </c>
      <c r="J7" s="22" t="n">
        <v>165</v>
      </c>
      <c r="K7" s="22" t="n">
        <v>0</v>
      </c>
      <c r="L7" s="22" t="n">
        <v>2</v>
      </c>
      <c r="M7" s="22" t="s">
        <v>48</v>
      </c>
    </row>
    <row r="8" customFormat="false" ht="15" hidden="false" customHeight="false" outlineLevel="0" collapsed="false">
      <c r="A8" s="4" t="s">
        <v>23</v>
      </c>
      <c r="B8" s="5" t="s">
        <v>25</v>
      </c>
      <c r="C8" s="4" t="n">
        <v>4</v>
      </c>
      <c r="D8" s="6" t="n">
        <v>1</v>
      </c>
      <c r="E8" s="7" t="n">
        <v>0.00596064814814815</v>
      </c>
      <c r="F8" s="8" t="n">
        <v>0.00596064814814815</v>
      </c>
      <c r="G8" s="8" t="n">
        <f aca="false">IFERROR(E8/D8,"")</f>
        <v>0.00596064814814815</v>
      </c>
      <c r="H8" s="4" t="n">
        <v>164</v>
      </c>
      <c r="I8" s="4" t="n">
        <v>151</v>
      </c>
      <c r="J8" s="4" t="n">
        <v>163</v>
      </c>
      <c r="K8" s="4" t="n">
        <v>2</v>
      </c>
      <c r="L8" s="4" t="n">
        <v>0</v>
      </c>
      <c r="M8" s="4"/>
    </row>
    <row r="9" customFormat="false" ht="15" hidden="false" customHeight="false" outlineLevel="0" collapsed="false">
      <c r="A9" s="4" t="s">
        <v>23</v>
      </c>
      <c r="B9" s="5" t="s">
        <v>25</v>
      </c>
      <c r="C9" s="4" t="n">
        <v>5</v>
      </c>
      <c r="D9" s="6" t="n">
        <v>1</v>
      </c>
      <c r="E9" s="7" t="n">
        <v>0.00601851851851852</v>
      </c>
      <c r="F9" s="8" t="n">
        <v>0.00601851851851852</v>
      </c>
      <c r="G9" s="8" t="n">
        <f aca="false">IFERROR(E9/D9,"")</f>
        <v>0.00601851851851852</v>
      </c>
      <c r="H9" s="4" t="n">
        <v>161</v>
      </c>
      <c r="I9" s="4" t="n">
        <v>145</v>
      </c>
      <c r="J9" s="4" t="n">
        <v>157</v>
      </c>
      <c r="K9" s="4" t="n">
        <v>3</v>
      </c>
      <c r="L9" s="4" t="n">
        <v>1</v>
      </c>
      <c r="M9" s="4"/>
    </row>
    <row r="10" customFormat="false" ht="15" hidden="false" customHeight="false" outlineLevel="0" collapsed="false">
      <c r="A10" s="4" t="s">
        <v>23</v>
      </c>
      <c r="B10" s="5" t="s">
        <v>25</v>
      </c>
      <c r="C10" s="4" t="n">
        <v>6</v>
      </c>
      <c r="D10" s="6" t="n">
        <v>0.02</v>
      </c>
      <c r="E10" s="7" t="n">
        <v>0.000138888888888889</v>
      </c>
      <c r="F10" s="8" t="n">
        <v>0.00868055555555556</v>
      </c>
      <c r="G10" s="8" t="n">
        <f aca="false">IFERROR(E10/D10,"")</f>
        <v>0.00694444444444444</v>
      </c>
      <c r="H10" s="4" t="n">
        <v>162</v>
      </c>
      <c r="I10" s="4" t="n">
        <v>154</v>
      </c>
      <c r="J10" s="4" t="n">
        <v>160</v>
      </c>
      <c r="K10" s="4" t="n">
        <v>0</v>
      </c>
      <c r="L10" s="4" t="n">
        <v>0</v>
      </c>
      <c r="M10" s="4"/>
    </row>
    <row r="11" customFormat="false" ht="15" hidden="false" customHeight="false" outlineLevel="0" collapsed="false">
      <c r="A11" s="4" t="s">
        <v>29</v>
      </c>
      <c r="B11" s="5" t="s">
        <v>31</v>
      </c>
      <c r="C11" s="4" t="n">
        <v>1</v>
      </c>
      <c r="D11" s="6" t="n">
        <v>1</v>
      </c>
      <c r="E11" s="7" t="n">
        <v>0.00585648148148148</v>
      </c>
      <c r="F11" s="8" t="n">
        <v>0.00585648148148148</v>
      </c>
      <c r="G11" s="8" t="n">
        <f aca="false">IFERROR(E11/D11,"")</f>
        <v>0.00585648148148148</v>
      </c>
      <c r="H11" s="4" t="n">
        <v>143</v>
      </c>
      <c r="I11" s="4" t="n">
        <v>148</v>
      </c>
      <c r="J11" s="4" t="n">
        <v>165</v>
      </c>
      <c r="K11" s="4" t="n">
        <v>2</v>
      </c>
      <c r="L11" s="4" t="n">
        <v>0</v>
      </c>
      <c r="M11" s="4"/>
    </row>
    <row r="12" customFormat="false" ht="15" hidden="false" customHeight="false" outlineLevel="0" collapsed="false">
      <c r="A12" s="4" t="s">
        <v>29</v>
      </c>
      <c r="B12" s="5" t="s">
        <v>31</v>
      </c>
      <c r="C12" s="4" t="n">
        <v>2</v>
      </c>
      <c r="D12" s="6" t="n">
        <v>1</v>
      </c>
      <c r="E12" s="7" t="n">
        <v>0.00556712962962963</v>
      </c>
      <c r="F12" s="8" t="n">
        <v>0.00556712962962963</v>
      </c>
      <c r="G12" s="8" t="n">
        <f aca="false">IFERROR(E12/D12,"")</f>
        <v>0.00556712962962963</v>
      </c>
      <c r="H12" s="4" t="n">
        <v>158</v>
      </c>
      <c r="I12" s="4" t="n">
        <v>160</v>
      </c>
      <c r="J12" s="4" t="n">
        <v>171</v>
      </c>
      <c r="K12" s="4" t="n">
        <v>2</v>
      </c>
      <c r="L12" s="4" t="n">
        <v>3</v>
      </c>
      <c r="M12" s="4"/>
    </row>
    <row r="13" customFormat="false" ht="15" hidden="false" customHeight="false" outlineLevel="0" collapsed="false">
      <c r="A13" s="4" t="s">
        <v>29</v>
      </c>
      <c r="B13" s="5" t="s">
        <v>31</v>
      </c>
      <c r="C13" s="4" t="n">
        <v>3</v>
      </c>
      <c r="D13" s="6" t="n">
        <v>1</v>
      </c>
      <c r="E13" s="7" t="n">
        <v>0.0056712962962963</v>
      </c>
      <c r="F13" s="8" t="n">
        <v>0.0056712962962963</v>
      </c>
      <c r="G13" s="8" t="n">
        <f aca="false">IFERROR(E13/D13,"")</f>
        <v>0.0056712962962963</v>
      </c>
      <c r="H13" s="4" t="n">
        <v>161</v>
      </c>
      <c r="I13" s="4" t="n">
        <v>156</v>
      </c>
      <c r="J13" s="4" t="n">
        <v>168</v>
      </c>
      <c r="K13" s="4" t="n">
        <v>0</v>
      </c>
      <c r="L13" s="4" t="n">
        <v>3</v>
      </c>
      <c r="M13" s="4"/>
    </row>
    <row r="14" customFormat="false" ht="15" hidden="false" customHeight="false" outlineLevel="0" collapsed="false">
      <c r="A14" s="22" t="s">
        <v>29</v>
      </c>
      <c r="B14" s="23" t="s">
        <v>31</v>
      </c>
      <c r="C14" s="22" t="n">
        <v>4</v>
      </c>
      <c r="D14" s="24" t="n">
        <v>1</v>
      </c>
      <c r="E14" s="25" t="n">
        <v>0.00502314814814815</v>
      </c>
      <c r="F14" s="26" t="n">
        <v>0.00502314814814815</v>
      </c>
      <c r="G14" s="26" t="n">
        <f aca="false">IFERROR(E14/D14,"")</f>
        <v>0.00502314814814815</v>
      </c>
      <c r="H14" s="22" t="n">
        <v>163</v>
      </c>
      <c r="I14" s="22" t="n">
        <v>170</v>
      </c>
      <c r="J14" s="22" t="n">
        <v>168</v>
      </c>
      <c r="K14" s="22" t="n">
        <v>2</v>
      </c>
      <c r="L14" s="22" t="n">
        <v>2</v>
      </c>
      <c r="M14" s="22" t="s">
        <v>48</v>
      </c>
    </row>
    <row r="15" customFormat="false" ht="15" hidden="false" customHeight="false" outlineLevel="0" collapsed="false">
      <c r="A15" s="4" t="s">
        <v>29</v>
      </c>
      <c r="B15" s="5" t="s">
        <v>31</v>
      </c>
      <c r="C15" s="4" t="n">
        <v>5</v>
      </c>
      <c r="D15" s="6" t="n">
        <v>1</v>
      </c>
      <c r="E15" s="7" t="n">
        <v>0.005625</v>
      </c>
      <c r="F15" s="8" t="n">
        <v>0.005625</v>
      </c>
      <c r="G15" s="8" t="n">
        <f aca="false">IFERROR(E15/D15,"")</f>
        <v>0.005625</v>
      </c>
      <c r="H15" s="4" t="n">
        <v>162</v>
      </c>
      <c r="I15" s="4" t="n">
        <v>156</v>
      </c>
      <c r="J15" s="4" t="n">
        <v>161</v>
      </c>
      <c r="K15" s="4" t="n">
        <v>2</v>
      </c>
      <c r="L15" s="4" t="n">
        <v>2</v>
      </c>
      <c r="M15" s="4"/>
    </row>
    <row r="16" customFormat="false" ht="15" hidden="false" customHeight="false" outlineLevel="0" collapsed="false">
      <c r="A16" s="4" t="s">
        <v>29</v>
      </c>
      <c r="B16" s="5" t="s">
        <v>31</v>
      </c>
      <c r="C16" s="4" t="n">
        <v>6</v>
      </c>
      <c r="D16" s="6" t="n">
        <v>0.01</v>
      </c>
      <c r="E16" s="7" t="n">
        <v>4.62962962962963E-005</v>
      </c>
      <c r="F16" s="8" t="n">
        <v>0.00556712962962963</v>
      </c>
      <c r="G16" s="8" t="n">
        <f aca="false">IFERROR(E16/D16,"")</f>
        <v>0.00462962962962963</v>
      </c>
      <c r="H16" s="4" t="n">
        <v>168</v>
      </c>
      <c r="I16" s="4" t="n">
        <v>173</v>
      </c>
      <c r="J16" s="4" t="n">
        <v>166</v>
      </c>
      <c r="K16" s="4" t="n">
        <v>0</v>
      </c>
      <c r="L16" s="4" t="n">
        <v>0</v>
      </c>
      <c r="M16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6"/>
    <col collapsed="false" customWidth="true" hidden="false" outlineLevel="0" max="5" min="5" style="0" width="58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27" t="s">
        <v>51</v>
      </c>
      <c r="B4" s="28"/>
      <c r="C4" s="28"/>
      <c r="D4" s="28"/>
      <c r="E4" s="28"/>
    </row>
    <row r="5" customFormat="false" ht="30" hidden="false" customHeight="true" outlineLevel="0" collapsed="false">
      <c r="A5" s="3" t="s">
        <v>52</v>
      </c>
      <c r="B5" s="3" t="s">
        <v>53</v>
      </c>
      <c r="C5" s="3" t="s">
        <v>54</v>
      </c>
      <c r="D5" s="3" t="s">
        <v>55</v>
      </c>
      <c r="E5" s="3" t="s">
        <v>56</v>
      </c>
    </row>
    <row r="6" customFormat="false" ht="15" hidden="false" customHeight="false" outlineLevel="0" collapsed="false">
      <c r="A6" s="29" t="s">
        <v>7</v>
      </c>
      <c r="B6" s="30" t="n">
        <f aca="false">Ringkasan!$F$5</f>
        <v>5.02</v>
      </c>
      <c r="C6" s="30" t="n">
        <f aca="false">Ringkasan!$F$6</f>
        <v>5.01</v>
      </c>
      <c r="D6" s="31" t="n">
        <f aca="false">Ringkasan!$F$6-Ringkasan!$F$5</f>
        <v>-0.00999999999999979</v>
      </c>
      <c r="E6" s="32" t="s">
        <v>57</v>
      </c>
    </row>
    <row r="7" customFormat="false" ht="15" hidden="false" customHeight="false" outlineLevel="0" collapsed="false">
      <c r="A7" s="29" t="s">
        <v>58</v>
      </c>
      <c r="B7" s="33" t="n">
        <f aca="false">Ringkasan!$G$5</f>
        <v>0.0301581018518519</v>
      </c>
      <c r="C7" s="33" t="n">
        <f aca="false">Ringkasan!$G$6</f>
        <v>0.0277978009259259</v>
      </c>
      <c r="D7" s="34" t="n">
        <f aca="false">(Ringkasan!$G$6-Ringkasan!$G$5)*86400</f>
        <v>-203.93</v>
      </c>
      <c r="E7" s="32" t="s">
        <v>59</v>
      </c>
    </row>
    <row r="8" customFormat="false" ht="15" hidden="false" customHeight="false" outlineLevel="0" collapsed="false">
      <c r="A8" s="29" t="s">
        <v>60</v>
      </c>
      <c r="B8" s="35" t="n">
        <f aca="false">Ringkasan!$H$5</f>
        <v>0.00600694444444444</v>
      </c>
      <c r="C8" s="35" t="n">
        <f aca="false">Ringkasan!$H$6</f>
        <v>0.00555555555555556</v>
      </c>
      <c r="D8" s="34" t="n">
        <f aca="false">(Ringkasan!$H$6-Ringkasan!$H$5)*86400</f>
        <v>-39</v>
      </c>
      <c r="E8" s="32" t="s">
        <v>61</v>
      </c>
    </row>
    <row r="9" customFormat="false" ht="15" hidden="false" customHeight="false" outlineLevel="0" collapsed="false">
      <c r="A9" s="29" t="s">
        <v>10</v>
      </c>
      <c r="B9" s="35" t="n">
        <f aca="false">Ringkasan!$I$5</f>
        <v>0.00569444444444445</v>
      </c>
      <c r="C9" s="35" t="n">
        <f aca="false">Ringkasan!$I$6</f>
        <v>0.005</v>
      </c>
      <c r="D9" s="34" t="n">
        <f aca="false">(Ringkasan!$I$6-Ringkasan!$I$5)*86400</f>
        <v>-60</v>
      </c>
      <c r="E9" s="32" t="s">
        <v>62</v>
      </c>
    </row>
    <row r="10" customFormat="false" ht="15" hidden="false" customHeight="false" outlineLevel="0" collapsed="false">
      <c r="A10" s="29" t="s">
        <v>12</v>
      </c>
      <c r="B10" s="36" t="n">
        <f aca="false">Ringkasan!$K$5</f>
        <v>159</v>
      </c>
      <c r="C10" s="36" t="n">
        <f aca="false">Ringkasan!$K$6</f>
        <v>157</v>
      </c>
      <c r="D10" s="37" t="n">
        <f aca="false">Ringkasan!$K$6-Ringkasan!$K$5</f>
        <v>-2</v>
      </c>
      <c r="E10" s="32" t="s">
        <v>63</v>
      </c>
    </row>
    <row r="11" customFormat="false" ht="15" hidden="false" customHeight="false" outlineLevel="0" collapsed="false">
      <c r="A11" s="29" t="s">
        <v>64</v>
      </c>
      <c r="B11" s="36" t="n">
        <f aca="false">Ringkasan!$L$5</f>
        <v>148</v>
      </c>
      <c r="C11" s="36" t="n">
        <f aca="false">Ringkasan!$L$6</f>
        <v>158</v>
      </c>
      <c r="D11" s="37" t="n">
        <f aca="false">Ringkasan!$L$6-Ringkasan!$L$5</f>
        <v>10</v>
      </c>
      <c r="E11" s="32" t="s">
        <v>65</v>
      </c>
    </row>
    <row r="12" customFormat="false" ht="15" hidden="false" customHeight="false" outlineLevel="0" collapsed="false">
      <c r="A12" s="29" t="s">
        <v>66</v>
      </c>
      <c r="B12" s="36" t="n">
        <f aca="false">Ringkasan!$M$5</f>
        <v>161</v>
      </c>
      <c r="C12" s="36" t="n">
        <f aca="false">Ringkasan!$M$6</f>
        <v>167</v>
      </c>
      <c r="D12" s="37" t="n">
        <f aca="false">Ringkasan!$M$6-Ringkasan!$M$5</f>
        <v>6</v>
      </c>
      <c r="E12" s="32" t="s">
        <v>67</v>
      </c>
    </row>
    <row r="13" customFormat="false" ht="15" hidden="false" customHeight="false" outlineLevel="0" collapsed="false">
      <c r="A13" s="29" t="s">
        <v>68</v>
      </c>
      <c r="B13" s="36" t="n">
        <f aca="false">Ringkasan!$P$5</f>
        <v>117</v>
      </c>
      <c r="C13" s="36" t="n">
        <f aca="false">Ringkasan!$P$6</f>
        <v>104</v>
      </c>
      <c r="D13" s="37" t="n">
        <f aca="false">Ringkasan!$P$6-Ringkasan!$P$5</f>
        <v>-13</v>
      </c>
      <c r="E13" s="32" t="s">
        <v>69</v>
      </c>
    </row>
    <row r="14" customFormat="false" ht="15" hidden="false" customHeight="false" outlineLevel="0" collapsed="false">
      <c r="A14" s="29" t="s">
        <v>20</v>
      </c>
      <c r="B14" s="38" t="n">
        <f aca="false">Ringkasan!$S$5</f>
        <v>3.3</v>
      </c>
      <c r="C14" s="38" t="n">
        <f aca="false">Ringkasan!$S$6</f>
        <v>3.1</v>
      </c>
      <c r="D14" s="39" t="n">
        <f aca="false">Ringkasan!$S$6-Ringkasan!$S$5</f>
        <v>-0.2</v>
      </c>
      <c r="E14" s="32" t="s">
        <v>70</v>
      </c>
    </row>
    <row r="16" customFormat="false" ht="15" hidden="false" customHeight="false" outlineLevel="0" collapsed="false">
      <c r="A16" s="27" t="s">
        <v>71</v>
      </c>
      <c r="B16" s="28"/>
      <c r="C16" s="28"/>
      <c r="D16" s="28"/>
      <c r="E16" s="28"/>
    </row>
    <row r="17" customFormat="false" ht="30" hidden="false" customHeight="true" outlineLevel="0" collapsed="false">
      <c r="A17" s="3" t="s">
        <v>52</v>
      </c>
      <c r="B17" s="3" t="s">
        <v>72</v>
      </c>
      <c r="C17" s="3" t="s">
        <v>73</v>
      </c>
      <c r="D17" s="3" t="s">
        <v>74</v>
      </c>
      <c r="E17" s="3" t="s">
        <v>75</v>
      </c>
    </row>
    <row r="18" customFormat="false" ht="15" hidden="false" customHeight="false" outlineLevel="0" collapsed="false">
      <c r="A18" s="29" t="s">
        <v>60</v>
      </c>
      <c r="B18" s="35" t="n">
        <f aca="false">Ringkasan!$H$7</f>
        <v>0.00596064814814815</v>
      </c>
      <c r="C18" s="35" t="n">
        <f aca="false">Ringkasan!$H$5</f>
        <v>0.00600694444444444</v>
      </c>
      <c r="D18" s="35" t="n">
        <f aca="false">Ringkasan!$H$6</f>
        <v>0.00555555555555556</v>
      </c>
      <c r="E18" s="32" t="s">
        <v>76</v>
      </c>
    </row>
    <row r="19" customFormat="false" ht="22.35" hidden="false" customHeight="false" outlineLevel="0" collapsed="false">
      <c r="A19" s="29" t="s">
        <v>12</v>
      </c>
      <c r="B19" s="36" t="n">
        <f aca="false">Ringkasan!$K$7</f>
        <v>159</v>
      </c>
      <c r="C19" s="36" t="n">
        <f aca="false">Ringkasan!$K$5</f>
        <v>159</v>
      </c>
      <c r="D19" s="36" t="n">
        <f aca="false">Ringkasan!$K$6</f>
        <v>157</v>
      </c>
      <c r="E19" s="32" t="s">
        <v>77</v>
      </c>
    </row>
    <row r="20" customFormat="false" ht="15" hidden="false" customHeight="false" outlineLevel="0" collapsed="false">
      <c r="A20" s="29" t="s">
        <v>66</v>
      </c>
      <c r="B20" s="36" t="n">
        <f aca="false">Ringkasan!$M$7</f>
        <v>167</v>
      </c>
      <c r="C20" s="36" t="n">
        <f aca="false">Ringkasan!$M$5</f>
        <v>161</v>
      </c>
      <c r="D20" s="36" t="n">
        <f aca="false">Ringkasan!$M$6</f>
        <v>167</v>
      </c>
      <c r="E20" s="32" t="s">
        <v>78</v>
      </c>
    </row>
    <row r="21" customFormat="false" ht="15" hidden="false" customHeight="false" outlineLevel="0" collapsed="false">
      <c r="A21" s="29" t="s">
        <v>68</v>
      </c>
      <c r="B21" s="36" t="n">
        <f aca="false">Ringkasan!$P$7</f>
        <v>115</v>
      </c>
      <c r="C21" s="36" t="n">
        <f aca="false">Ringkasan!$P$5</f>
        <v>117</v>
      </c>
      <c r="D21" s="36" t="n">
        <f aca="false">Ringkasan!$P$6</f>
        <v>104</v>
      </c>
      <c r="E21" s="32" t="s">
        <v>79</v>
      </c>
    </row>
    <row r="23" customFormat="false" ht="15" hidden="false" customHeight="false" outlineLevel="0" collapsed="false">
      <c r="A23" s="27" t="s">
        <v>80</v>
      </c>
      <c r="B23" s="28"/>
      <c r="C23" s="28"/>
      <c r="D23" s="28"/>
      <c r="E23" s="28"/>
    </row>
    <row r="24" customFormat="false" ht="15" hidden="false" customHeight="false" outlineLevel="0" collapsed="false">
      <c r="A24" s="29" t="s">
        <v>81</v>
      </c>
      <c r="B24" s="40" t="n">
        <f aca="false">_xlfn.MINIFS('Detail Lap'!$E$5:$E$16,'Detail Lap'!$D$5:$D$16,1)</f>
        <v>0.00502314814814815</v>
      </c>
      <c r="C24" s="41"/>
      <c r="D24" s="41"/>
      <c r="E24" s="42" t="s">
        <v>82</v>
      </c>
    </row>
    <row r="25" customFormat="false" ht="15" hidden="false" customHeight="false" outlineLevel="0" collapsed="false">
      <c r="A25" s="29" t="s">
        <v>83</v>
      </c>
      <c r="B25" s="40" t="n">
        <f aca="false">_xlfn.MAXIFS('Detail Lap'!$E$5:$E$16,'Detail Lap'!$D$5:$D$16,1)</f>
        <v>0.0062037037037037</v>
      </c>
      <c r="C25" s="41"/>
      <c r="D25" s="41"/>
      <c r="E25" s="42" t="s">
        <v>84</v>
      </c>
    </row>
    <row r="26" customFormat="false" ht="15" hidden="false" customHeight="false" outlineLevel="0" collapsed="false">
      <c r="A26" s="29" t="s">
        <v>85</v>
      </c>
      <c r="B26" s="40" t="n">
        <f aca="false">AVERAGEIFS('Detail Lap'!$E$5:$E$16,'Detail Lap'!$D$5:$D$16,1)</f>
        <v>0.00577662037037037</v>
      </c>
      <c r="C26" s="41"/>
      <c r="D26" s="41"/>
      <c r="E26" s="42"/>
    </row>
    <row r="27" customFormat="false" ht="15" hidden="false" customHeight="false" outlineLevel="0" collapsed="false">
      <c r="A27" s="29" t="s">
        <v>86</v>
      </c>
      <c r="B27" s="43" t="n">
        <f aca="false">(_xlfn.MAXIFS('Detail Lap'!$E$5:$E$16,'Detail Lap'!$D$5:$D$16,1,'Detail Lap'!$A$5:$A$16,Ringkasan!$B$5)-_xlfn.MINIFS('Detail Lap'!$E$5:$E$16,'Detail Lap'!$D$5:$D$16,1,'Detail Lap'!$A$5:$A$16,Ringkasan!$B$5))*86400</f>
        <v>36.9999999999999</v>
      </c>
      <c r="C27" s="41"/>
      <c r="D27" s="41"/>
      <c r="E27" s="42" t="s">
        <v>87</v>
      </c>
    </row>
    <row r="28" customFormat="false" ht="15" hidden="false" customHeight="false" outlineLevel="0" collapsed="false">
      <c r="A28" s="29" t="s">
        <v>88</v>
      </c>
      <c r="B28" s="43" t="n">
        <f aca="false">(_xlfn.MAXIFS('Detail Lap'!$E$5:$E$16,'Detail Lap'!$D$5:$D$16,1,'Detail Lap'!$A$5:$A$16,Ringkasan!$B$6)-_xlfn.MINIFS('Detail Lap'!$E$5:$E$16,'Detail Lap'!$D$5:$D$16,1,'Detail Lap'!$A$5:$A$16,Ringkasan!$B$6))*86400</f>
        <v>72</v>
      </c>
      <c r="C28" s="41"/>
      <c r="D28" s="41"/>
      <c r="E28" s="42" t="s">
        <v>89</v>
      </c>
    </row>
    <row r="30" customFormat="false" ht="15" hidden="false" customHeight="false" outlineLevel="0" collapsed="false">
      <c r="A30" s="27" t="s">
        <v>90</v>
      </c>
      <c r="B30" s="28"/>
      <c r="C30" s="28"/>
      <c r="D30" s="28"/>
      <c r="E30" s="28"/>
    </row>
    <row r="31" customFormat="false" ht="31.5" hidden="false" customHeight="true" outlineLevel="0" collapsed="false">
      <c r="A31" s="44" t="s">
        <v>91</v>
      </c>
      <c r="B31" s="44"/>
      <c r="C31" s="44"/>
      <c r="D31" s="44"/>
      <c r="E31" s="44"/>
    </row>
    <row r="32" customFormat="false" ht="31.5" hidden="false" customHeight="true" outlineLevel="0" collapsed="false">
      <c r="A32" s="44" t="s">
        <v>92</v>
      </c>
      <c r="B32" s="44"/>
      <c r="C32" s="44"/>
      <c r="D32" s="44"/>
      <c r="E32" s="44"/>
    </row>
    <row r="33" customFormat="false" ht="31.5" hidden="false" customHeight="true" outlineLevel="0" collapsed="false">
      <c r="A33" s="44" t="s">
        <v>93</v>
      </c>
      <c r="B33" s="44"/>
      <c r="C33" s="44"/>
      <c r="D33" s="44"/>
      <c r="E33" s="44"/>
    </row>
    <row r="34" customFormat="false" ht="31.5" hidden="false" customHeight="true" outlineLevel="0" collapsed="false">
      <c r="A34" s="44" t="s">
        <v>94</v>
      </c>
      <c r="B34" s="44"/>
      <c r="C34" s="44"/>
      <c r="D34" s="44"/>
      <c r="E34" s="44"/>
    </row>
    <row r="35" customFormat="false" ht="31.5" hidden="false" customHeight="true" outlineLevel="0" collapsed="false">
      <c r="A35" s="44" t="s">
        <v>95</v>
      </c>
      <c r="B35" s="44"/>
      <c r="C35" s="44"/>
      <c r="D35" s="44"/>
      <c r="E35" s="44"/>
    </row>
    <row r="36" customFormat="false" ht="31.5" hidden="false" customHeight="true" outlineLevel="0" collapsed="false">
      <c r="A36" s="44" t="s">
        <v>96</v>
      </c>
      <c r="B36" s="44"/>
      <c r="C36" s="44"/>
      <c r="D36" s="44"/>
      <c r="E36" s="44"/>
    </row>
    <row r="37" customFormat="false" ht="31.5" hidden="false" customHeight="true" outlineLevel="0" collapsed="false">
      <c r="A37" s="44" t="s">
        <v>97</v>
      </c>
      <c r="B37" s="44"/>
      <c r="C37" s="44"/>
      <c r="D37" s="44"/>
      <c r="E37" s="44"/>
    </row>
    <row r="38" customFormat="false" ht="31.5" hidden="false" customHeight="true" outlineLevel="0" collapsed="false">
      <c r="A38" s="44" t="s">
        <v>98</v>
      </c>
      <c r="B38" s="44"/>
      <c r="C38" s="44"/>
      <c r="D38" s="44"/>
      <c r="E38" s="44"/>
    </row>
    <row r="40" customFormat="false" ht="15" hidden="false" customHeight="false" outlineLevel="0" collapsed="false">
      <c r="A40" s="2" t="s">
        <v>99</v>
      </c>
    </row>
  </sheetData>
  <mergeCells count="8">
    <mergeCell ref="A31:E31"/>
    <mergeCell ref="A32:E32"/>
    <mergeCell ref="A33:E33"/>
    <mergeCell ref="A34:E34"/>
    <mergeCell ref="A35:E35"/>
    <mergeCell ref="A36:E36"/>
    <mergeCell ref="A37:E37"/>
    <mergeCell ref="A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2026-09-16T17:55:39Z</dcterms:created>
  <dc:creator>openpyxl</dc:creator>
  <dc:description/>
  <dc:language>en-US</dc:language>
  <cp:lastModifiedBy/>
  <dcterms:modified xsi:type="dcterms:W3CDTF">2026-09-16T17:55:40Z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