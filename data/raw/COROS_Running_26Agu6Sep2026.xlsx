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ngkasan" sheetId="1" r:id="rId5"/>
    <sheet state="visible" name="Detail Lap" sheetId="2" r:id="rId6"/>
    <sheet state="visible" name="Analisis" sheetId="3" r:id="rId7"/>
  </sheets>
  <definedNames/>
  <calcPr/>
</workbook>
</file>

<file path=xl/sharedStrings.xml><?xml version="1.0" encoding="utf-8"?>
<sst xmlns="http://schemas.openxmlformats.org/spreadsheetml/2006/main" count="234" uniqueCount="97">
  <si>
    <t>Detail Lap per Aktivitas</t>
  </si>
  <si>
    <t>Ringkasan Aktivitas — 26 Agustus s/d 6 September 2026</t>
  </si>
  <si>
    <t>Analisis Tren — 26 Agu s/d 6 Sep 2026</t>
  </si>
  <si>
    <t>Semua angka di sheet ini adalah formula yang menarik data dari sheet Ringkasan &amp; Detail Lap — ubah datanya, angka di sini ikut berubah.</t>
  </si>
  <si>
    <t>Kolom 'Pace (COROS)' = angka apa adanya dari aplikasi. 'Pace Hitung' = Waktu / Jarak (bisa beda tipis di lap pecahan karena pembulatan jarak di app).</t>
  </si>
  <si>
    <t>A. TOTAL PERIODE (12 hari, 5 aktivitas)</t>
  </si>
  <si>
    <t>Sumber: COROS Training Hub (t.coros.com). Diambil 7 September 2026. Label aktivitas ditentukan oleh Harist.</t>
  </si>
  <si>
    <t>Tanggal</t>
  </si>
  <si>
    <t>Nama Aktivitas</t>
  </si>
  <si>
    <t>Label</t>
  </si>
  <si>
    <t>Lap</t>
  </si>
  <si>
    <t>Jarak (km)</t>
  </si>
  <si>
    <t>Waktu</t>
  </si>
  <si>
    <t>Pace (COROS)</t>
  </si>
  <si>
    <t>Pace Hitung /km</t>
  </si>
  <si>
    <t>Avg HR (bpm)</t>
  </si>
  <si>
    <t>Avg Power (w)</t>
  </si>
  <si>
    <t>Total jarak semua aktivitas (km)</t>
  </si>
  <si>
    <t>Avg Cadence (spm)</t>
  </si>
  <si>
    <t>Elev Gain (m)</t>
  </si>
  <si>
    <t>Total Descent (m)</t>
  </si>
  <si>
    <t>Best Lap</t>
  </si>
  <si>
    <t>2026-08-26</t>
  </si>
  <si>
    <t>West Jakarta Run</t>
  </si>
  <si>
    <t>Easy Run</t>
  </si>
  <si>
    <t>No</t>
  </si>
  <si>
    <t>Jam</t>
  </si>
  <si>
    <t>Tipe</t>
  </si>
  <si>
    <t>Waktu Aktif</t>
  </si>
  <si>
    <t>Total Waktu</t>
  </si>
  <si>
    <t>Avg Pace /km</t>
  </si>
  <si>
    <t>Best km</t>
  </si>
  <si>
    <t>Training Load</t>
  </si>
  <si>
    <t>Kalori (kcal)</t>
  </si>
  <si>
    <t>Aerobic TE</t>
  </si>
  <si>
    <t>Load / km</t>
  </si>
  <si>
    <t>Catatan</t>
  </si>
  <si>
    <t>05:18</t>
  </si>
  <si>
    <t>Total waktu bergerak</t>
  </si>
  <si>
    <t>Road</t>
  </si>
  <si>
    <t>Total training load</t>
  </si>
  <si>
    <t>Total kalori (kcal)</t>
  </si>
  <si>
    <t>★</t>
  </si>
  <si>
    <t>Jumlah sesi lari (Easy Run)</t>
  </si>
  <si>
    <t>2026-08-30</t>
  </si>
  <si>
    <t>Wonosobo Regency Trail Run</t>
  </si>
  <si>
    <t>Hiking Santai</t>
  </si>
  <si>
    <t>Jumlah sesi hiking santai</t>
  </si>
  <si>
    <t>10:49</t>
  </si>
  <si>
    <t>Trail</t>
  </si>
  <si>
    <t>Wonosobo 30 Agu — jalan santai menemani orang, bukan sesi lari.</t>
  </si>
  <si>
    <t>n/a</t>
  </si>
  <si>
    <t>B. SESI LARI SAJA (Easy Run — hiking dikecualikan)</t>
  </si>
  <si>
    <t>Total jarak lari (km)</t>
  </si>
  <si>
    <t>Rata-rata pace /km</t>
  </si>
  <si>
    <t>Bukan sesi lari — jalan santai sambil menemani/menunggu orang lain. Jangan dipakai buat benchmark pace.</t>
  </si>
  <si>
    <t>2026-09-01</t>
  </si>
  <si>
    <t>19:30</t>
  </si>
  <si>
    <t>Pace terbaik (best km)</t>
  </si>
  <si>
    <t>Central Jakarta Run</t>
  </si>
  <si>
    <t>Rata-rata HR (bpm)</t>
  </si>
  <si>
    <t>2026-09-03</t>
  </si>
  <si>
    <t>20:24</t>
  </si>
  <si>
    <t>Jakarta Run</t>
  </si>
  <si>
    <t>Rata-rata cadence (spm)</t>
  </si>
  <si>
    <t>2026-09-06</t>
  </si>
  <si>
    <t>17:06</t>
  </si>
  <si>
    <t>Rata-rata training load</t>
  </si>
  <si>
    <t>Load per km</t>
  </si>
  <si>
    <t>TOTAL / RATA-RATA</t>
  </si>
  <si>
    <t>C. TREN PER SESI LARI (urut waktu)</t>
  </si>
  <si>
    <t>Sesi</t>
  </si>
  <si>
    <t>Pace /km</t>
  </si>
  <si>
    <t>Δ Pace (detik/km)</t>
  </si>
  <si>
    <t>Avg HR</t>
  </si>
  <si>
    <t>Δ HR</t>
  </si>
  <si>
    <t>Aerobic TE / Load</t>
  </si>
  <si>
    <t>Avg HR gabungan sengaja tidak ditampilkan — lari &amp; hiking beda karakter. Lihat sheet Analisis untuk rata-rata HR sesi lari saja.</t>
  </si>
  <si>
    <t>—</t>
  </si>
  <si>
    <t>Catatan: baris berwarna kuning = Hiking Santai, sengaja dikeluarkan dari semua rata-rata pace/HR lari di sheet Analisis.</t>
  </si>
  <si>
    <t>Power &amp; cadence tidak terekam per-lap di sesi trail/hiking (hanya rata-rata sesi: 45 w / 67 spm).</t>
  </si>
  <si>
    <t>Sesi acuan pertama di periode ini.</t>
  </si>
  <si>
    <t>D. LAP TERCEPAT &amp; TERLAMBAT (lap penuh 1.00 km, sesi lari saja)</t>
  </si>
  <si>
    <t>Lap 1 km tercepat</t>
  </si>
  <si>
    <t>Lap 1 km terlambat</t>
  </si>
  <si>
    <t>Rata-rata lap 1 km</t>
  </si>
  <si>
    <t>Jumlah lap 1 km</t>
  </si>
  <si>
    <t>E. CATATAN &amp; TEMUAN</t>
  </si>
  <si>
    <t>1. Trail Wonosobo 30 Agu dilabeli HIKING SANTAI, bukan lari — jalan pelan sambil menemani/menunggu orang. Pace 35'21"/km tidak mencerminkan kemampuan, jadi dikeluarkan dari semua rata-rata lari.</t>
  </si>
  <si>
    <t>2. Meski santai, sesi itu tetap yang paling berat secara volume: elev gain 516 m, descent 681 m, 1.954 kkal, load 98. Hitung sebagai beban kaki (terutama turunan), bukan sesi kecepatan.</t>
  </si>
  <si>
    <t>3. Tren 4 sesi lari 5K: pace membaik dari 09'12" (1 Sep) ke 08'29" (3 Sep) lalu 08'35" (6 Sep) — konsisten di kisaran 08'30-an.</t>
  </si>
  <si>
    <t>4. Avg HR merangkak naik tiap sesi: 149 → 157 → 159 bpm. Training load juga naik 88 → 108 → 115. Beban meningkat 3 sesi berturut-turut.</t>
  </si>
  <si>
    <t>5. Aerobic TE naik 2.9 → 3.2 → 3.3 (Improving). Bagus untuk adaptasi, tapi kalau HR terus naik di pace yang sama, itu tanda recovery mulai tertinggal.</t>
  </si>
  <si>
    <t>6. Cadence membaik dari 152 spm (1 Sep) ke 167-168 spm (3 &amp; 6 Sep) — perbaikan teknik yang nyata dan konsisten.</t>
  </si>
  <si>
    <t>7. Data power 26 Agu (83-93 w) jauh beda dari sesi lain (130-161 w) padahal pace mirip. Kemungkinan beda mode/kalibrasi sensor. JANGAN bandingkan power lintas sesi sebelum ini diverifikasi.</t>
  </si>
  <si>
    <t>8. Saran: setelah 3 sesi naik beruntun, sisipkan 1 sesi recovery benar-benar easy (HR di zona 1-2) sebelum menambah intensitas lagi.</t>
  </si>
  <si>
    <t>Poin 1 &amp; 2 berdasarkan keterangan langsung dari Harist. Poin 3-7 dihitung dari data COROS. Poin 8 adalah saran, bukan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</si>
</sst>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\+0&quot; dtk&quot;;\-0&quot; dtk&quot;;0"/>
    <numFmt numFmtId="166" formatCode="\+0;\-0;0"/>
  </numFmts>
  <fonts count="8">
    <font>
      <sz val="11.0"/>
      <color theme="1"/>
      <name val="Calibri"/>
      <scheme val="minor"/>
    </font>
    <font>
      <b/>
      <sz val="14.0"/>
      <color rgb="FF1F3864"/>
      <name val="Arial"/>
    </font>
    <font>
      <sz val="11.0"/>
      <color theme="1"/>
      <name val="Calibri"/>
    </font>
    <font>
      <i/>
      <sz val="9.0"/>
      <color rgb="FF595959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left" shrinkToFit="0" vertical="center" wrapText="0"/>
    </xf>
    <xf borderId="1" fillId="0" fontId="6" numFmtId="2" xfId="0" applyAlignment="1" applyBorder="1" applyFont="1" applyNumberFormat="1">
      <alignment horizontal="center" shrinkToFit="0" vertical="center" wrapText="0"/>
    </xf>
    <xf borderId="1" fillId="0" fontId="6" numFmtId="46" xfId="0" applyAlignment="1" applyBorder="1" applyFont="1" applyNumberFormat="1">
      <alignment horizontal="center" shrinkToFit="0" vertical="center" wrapText="0"/>
    </xf>
    <xf borderId="1" fillId="0" fontId="6" numFmtId="45" xfId="0" applyAlignment="1" applyBorder="1" applyFont="1" applyNumberFormat="1">
      <alignment horizontal="center" shrinkToFit="0" vertical="center" wrapText="0"/>
    </xf>
    <xf borderId="1" fillId="0" fontId="7" numFmtId="2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7" numFmtId="46" xfId="0" applyAlignment="1" applyBorder="1" applyFont="1" applyNumberFormat="1">
      <alignment horizontal="center" shrinkToFit="0" vertical="bottom" wrapText="0"/>
    </xf>
    <xf borderId="1" fillId="0" fontId="6" numFmtId="164" xfId="0" applyAlignment="1" applyBorder="1" applyFont="1" applyNumberFormat="1">
      <alignment horizontal="center" shrinkToFit="0" vertical="center" wrapText="0"/>
    </xf>
    <xf borderId="1" fillId="0" fontId="7" numFmtId="1" xfId="0" applyAlignment="1" applyBorder="1" applyFont="1" applyNumberFormat="1">
      <alignment horizontal="center" shrinkToFit="0" vertical="bottom" wrapText="0"/>
    </xf>
    <xf borderId="1" fillId="3" fontId="6" numFmtId="0" xfId="0" applyAlignment="1" applyBorder="1" applyFill="1" applyFont="1">
      <alignment horizontal="center" shrinkToFit="0" vertical="center" wrapText="0"/>
    </xf>
    <xf borderId="1" fillId="0" fontId="6" numFmtId="0" xfId="0" applyAlignment="1" applyBorder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0"/>
    </xf>
    <xf borderId="1" fillId="3" fontId="6" numFmtId="2" xfId="0" applyAlignment="1" applyBorder="1" applyFill="1" applyFont="1" applyNumberFormat="1">
      <alignment horizontal="center" shrinkToFit="0" vertical="center" wrapText="0"/>
    </xf>
    <xf borderId="1" fillId="3" fontId="6" numFmtId="46" xfId="0" applyAlignment="1" applyBorder="1" applyFill="1" applyFont="1" applyNumberFormat="1">
      <alignment horizontal="center" shrinkToFit="0" vertical="center" wrapText="0"/>
    </xf>
    <xf borderId="1" fillId="3" fontId="6" numFmtId="45" xfId="0" applyAlignment="1" applyBorder="1" applyFill="1" applyFont="1" applyNumberFormat="1">
      <alignment horizontal="center" shrinkToFit="0" vertical="center" wrapText="0"/>
    </xf>
    <xf borderId="1" fillId="3" fontId="6" numFmtId="164" xfId="0" applyAlignment="1" applyBorder="1" applyFill="1" applyFont="1" applyNumberFormat="1">
      <alignment horizontal="center" shrinkToFit="0" vertical="center" wrapText="0"/>
    </xf>
    <xf borderId="1" fillId="3" fontId="6" numFmtId="0" xfId="0" applyAlignment="1" applyBorder="1" applyFill="1" applyFont="1">
      <alignment horizontal="left" shrinkToFit="0" vertical="center" wrapText="1"/>
    </xf>
    <xf borderId="1" fillId="0" fontId="7" numFmtId="45" xfId="0" applyAlignment="1" applyBorder="1" applyFont="1" applyNumberFormat="1">
      <alignment horizontal="center"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1" fillId="4" fontId="7" numFmtId="0" xfId="0" applyAlignment="1" applyBorder="1" applyFill="1" applyFont="1">
      <alignment shrinkToFit="0" vertical="bottom" wrapText="0"/>
    </xf>
    <xf borderId="1" fillId="0" fontId="7" numFmtId="164" xfId="0" applyAlignment="1" applyBorder="1" applyFont="1" applyNumberFormat="1">
      <alignment horizontal="center" shrinkToFit="0" vertical="bottom" wrapText="0"/>
    </xf>
    <xf borderId="1" fillId="4" fontId="7" numFmtId="2" xfId="0" applyAlignment="1" applyBorder="1" applyFill="1" applyFont="1" applyNumberFormat="1">
      <alignment shrinkToFit="0" vertical="bottom" wrapText="0"/>
    </xf>
    <xf borderId="1" fillId="4" fontId="7" numFmtId="46" xfId="0" applyAlignment="1" applyBorder="1" applyFill="1" applyFont="1" applyNumberFormat="1">
      <alignment shrinkToFit="0" vertical="bottom" wrapText="0"/>
    </xf>
    <xf borderId="1" fillId="4" fontId="7" numFmtId="1" xfId="0" applyAlignment="1" applyBorder="1" applyFill="1" applyFont="1" applyNumberFormat="1">
      <alignment shrinkToFit="0" vertical="bottom" wrapText="0"/>
    </xf>
    <xf borderId="1" fillId="0" fontId="6" numFmtId="0" xfId="0" applyAlignment="1" applyBorder="1" applyFont="1">
      <alignment horizontal="left" shrinkToFit="0" vertical="bottom" wrapText="0"/>
    </xf>
    <xf borderId="1" fillId="0" fontId="6" numFmtId="45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6" numFmtId="1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6" numFmtId="165" xfId="0" applyAlignment="1" applyBorder="1" applyFont="1" applyNumberFormat="1">
      <alignment horizontal="center" shrinkToFit="0" vertical="bottom" wrapText="0"/>
    </xf>
    <xf borderId="1" fillId="0" fontId="6" numFmtId="166" xfId="0" applyAlignment="1" applyBorder="1" applyFont="1" applyNumberFormat="1">
      <alignment horizontal="center" shrinkToFit="0" vertical="bottom" wrapText="0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7.0"/>
    <col customWidth="1" min="4" max="4" width="26.0"/>
    <col customWidth="1" min="5" max="5" width="14.0"/>
    <col customWidth="1" min="6" max="6" width="7.0"/>
    <col customWidth="1" min="7" max="7" width="10.0"/>
    <col customWidth="1" min="8" max="10" width="11.0"/>
    <col customWidth="1" min="11" max="11" width="10.0"/>
    <col customWidth="1" min="12" max="12" width="11.0"/>
    <col customWidth="1" min="13" max="13" width="12.0"/>
    <col customWidth="1" min="14" max="14" width="13.0"/>
    <col customWidth="1" min="15" max="15" width="11.0"/>
    <col customWidth="1" min="16" max="16" width="12.0"/>
    <col customWidth="1" min="17" max="18" width="11.0"/>
    <col customWidth="1" min="19" max="20" width="10.0"/>
    <col customWidth="1" min="21" max="21" width="52.0"/>
    <col customWidth="1" min="22" max="26" width="8.71"/>
  </cols>
  <sheetData>
    <row r="1" ht="17.2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30.0" customHeight="1">
      <c r="A4" s="5" t="s">
        <v>25</v>
      </c>
      <c r="B4" s="5" t="s">
        <v>7</v>
      </c>
      <c r="C4" s="5" t="s">
        <v>26</v>
      </c>
      <c r="D4" s="5" t="s">
        <v>8</v>
      </c>
      <c r="E4" s="5" t="s">
        <v>9</v>
      </c>
      <c r="F4" s="5" t="s">
        <v>27</v>
      </c>
      <c r="G4" s="5" t="s">
        <v>11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15</v>
      </c>
      <c r="M4" s="5" t="s">
        <v>16</v>
      </c>
      <c r="N4" s="5" t="s">
        <v>18</v>
      </c>
      <c r="O4" s="5" t="s">
        <v>19</v>
      </c>
      <c r="P4" s="5" t="s">
        <v>20</v>
      </c>
      <c r="Q4" s="5" t="s">
        <v>32</v>
      </c>
      <c r="R4" s="5" t="s">
        <v>33</v>
      </c>
      <c r="S4" s="5" t="s">
        <v>34</v>
      </c>
      <c r="T4" s="5" t="s">
        <v>35</v>
      </c>
      <c r="U4" s="5" t="s">
        <v>36</v>
      </c>
    </row>
    <row r="5" ht="15.0" customHeight="1">
      <c r="A5" s="8">
        <v>1.0</v>
      </c>
      <c r="B5" s="8" t="s">
        <v>22</v>
      </c>
      <c r="C5" s="8" t="s">
        <v>37</v>
      </c>
      <c r="D5" s="9" t="s">
        <v>23</v>
      </c>
      <c r="E5" s="8" t="s">
        <v>24</v>
      </c>
      <c r="F5" s="8" t="s">
        <v>39</v>
      </c>
      <c r="G5" s="10">
        <v>5.02</v>
      </c>
      <c r="H5" s="11">
        <v>0.0304282407407407</v>
      </c>
      <c r="I5" s="11">
        <v>0.0304282407407407</v>
      </c>
      <c r="J5" s="12">
        <v>0.00606481481481482</v>
      </c>
      <c r="K5" s="12">
        <v>0.00542824074074074</v>
      </c>
      <c r="L5" s="8">
        <v>153.0</v>
      </c>
      <c r="M5" s="8">
        <v>85.0</v>
      </c>
      <c r="N5" s="8">
        <v>162.0</v>
      </c>
      <c r="O5" s="8">
        <v>2.0</v>
      </c>
      <c r="P5" s="8">
        <v>7.0</v>
      </c>
      <c r="Q5" s="8">
        <v>94.0</v>
      </c>
      <c r="R5" s="8">
        <v>286.0</v>
      </c>
      <c r="S5" s="17">
        <v>3.0</v>
      </c>
      <c r="T5" s="17">
        <f t="shared" ref="T5:T9" si="1">Q5/G5</f>
        <v>18.7250996</v>
      </c>
      <c r="U5" s="20"/>
    </row>
    <row r="6" ht="23.25" customHeight="1">
      <c r="A6" s="19">
        <v>2.0</v>
      </c>
      <c r="B6" s="19" t="s">
        <v>44</v>
      </c>
      <c r="C6" s="19" t="s">
        <v>48</v>
      </c>
      <c r="D6" s="21" t="s">
        <v>45</v>
      </c>
      <c r="E6" s="19" t="s">
        <v>46</v>
      </c>
      <c r="F6" s="19" t="s">
        <v>49</v>
      </c>
      <c r="G6" s="22">
        <v>8.13</v>
      </c>
      <c r="H6" s="23">
        <v>0.199537037037037</v>
      </c>
      <c r="I6" s="23">
        <v>0.26787037037037</v>
      </c>
      <c r="J6" s="24">
        <v>0.0245486111111111</v>
      </c>
      <c r="K6" s="24">
        <v>0.0109490740740741</v>
      </c>
      <c r="L6" s="19">
        <v>117.0</v>
      </c>
      <c r="M6" s="19">
        <v>45.0</v>
      </c>
      <c r="N6" s="19">
        <v>67.0</v>
      </c>
      <c r="O6" s="19">
        <v>516.0</v>
      </c>
      <c r="P6" s="19">
        <v>681.0</v>
      </c>
      <c r="Q6" s="19">
        <v>98.0</v>
      </c>
      <c r="R6" s="19">
        <v>1954.0</v>
      </c>
      <c r="S6" s="25">
        <v>2.8</v>
      </c>
      <c r="T6" s="25">
        <f t="shared" si="1"/>
        <v>12.05412054</v>
      </c>
      <c r="U6" s="26" t="s">
        <v>55</v>
      </c>
    </row>
    <row r="7" ht="15.0" customHeight="1">
      <c r="A7" s="8">
        <v>3.0</v>
      </c>
      <c r="B7" s="8" t="s">
        <v>56</v>
      </c>
      <c r="C7" s="8" t="s">
        <v>57</v>
      </c>
      <c r="D7" s="9" t="s">
        <v>59</v>
      </c>
      <c r="E7" s="8" t="s">
        <v>24</v>
      </c>
      <c r="F7" s="8" t="s">
        <v>39</v>
      </c>
      <c r="G7" s="10">
        <v>5.01</v>
      </c>
      <c r="H7" s="11">
        <v>0.032025462962963</v>
      </c>
      <c r="I7" s="11">
        <v>0.0514236111111111</v>
      </c>
      <c r="J7" s="12">
        <v>0.00638888888888889</v>
      </c>
      <c r="K7" s="12">
        <v>0.00543981481481482</v>
      </c>
      <c r="L7" s="8">
        <v>149.0</v>
      </c>
      <c r="M7" s="8">
        <v>142.0</v>
      </c>
      <c r="N7" s="8">
        <v>152.0</v>
      </c>
      <c r="O7" s="8">
        <v>3.0</v>
      </c>
      <c r="P7" s="8">
        <v>4.0</v>
      </c>
      <c r="Q7" s="8">
        <v>88.0</v>
      </c>
      <c r="R7" s="8">
        <v>492.0</v>
      </c>
      <c r="S7" s="17">
        <v>2.9</v>
      </c>
      <c r="T7" s="17">
        <f t="shared" si="1"/>
        <v>17.56487026</v>
      </c>
      <c r="U7" s="20"/>
    </row>
    <row r="8" ht="15.0" customHeight="1">
      <c r="A8" s="8">
        <v>4.0</v>
      </c>
      <c r="B8" s="8" t="s">
        <v>61</v>
      </c>
      <c r="C8" s="8" t="s">
        <v>62</v>
      </c>
      <c r="D8" s="9" t="s">
        <v>63</v>
      </c>
      <c r="E8" s="8" t="s">
        <v>24</v>
      </c>
      <c r="F8" s="8" t="s">
        <v>39</v>
      </c>
      <c r="G8" s="10">
        <v>5.03</v>
      </c>
      <c r="H8" s="11">
        <v>0.0296527777777778</v>
      </c>
      <c r="I8" s="11">
        <v>0.0296527777777778</v>
      </c>
      <c r="J8" s="12">
        <v>0.0058912037037037</v>
      </c>
      <c r="K8" s="12">
        <v>0.00549768518518519</v>
      </c>
      <c r="L8" s="8">
        <v>157.0</v>
      </c>
      <c r="M8" s="8">
        <v>150.0</v>
      </c>
      <c r="N8" s="8">
        <v>168.0</v>
      </c>
      <c r="O8" s="8">
        <v>6.0</v>
      </c>
      <c r="P8" s="8">
        <v>5.0</v>
      </c>
      <c r="Q8" s="8">
        <v>108.0</v>
      </c>
      <c r="R8" s="8">
        <v>495.0</v>
      </c>
      <c r="S8" s="17">
        <v>3.2</v>
      </c>
      <c r="T8" s="17">
        <f t="shared" si="1"/>
        <v>21.47117296</v>
      </c>
      <c r="U8" s="20"/>
    </row>
    <row r="9" ht="15.0" customHeight="1">
      <c r="A9" s="8">
        <v>5.0</v>
      </c>
      <c r="B9" s="8" t="s">
        <v>65</v>
      </c>
      <c r="C9" s="8" t="s">
        <v>66</v>
      </c>
      <c r="D9" s="9" t="s">
        <v>63</v>
      </c>
      <c r="E9" s="8" t="s">
        <v>24</v>
      </c>
      <c r="F9" s="8" t="s">
        <v>39</v>
      </c>
      <c r="G9" s="10">
        <v>5.03</v>
      </c>
      <c r="H9" s="11">
        <v>0.0299768518518519</v>
      </c>
      <c r="I9" s="11">
        <v>0.0299768518518519</v>
      </c>
      <c r="J9" s="12">
        <v>0.00596064814814815</v>
      </c>
      <c r="K9" s="12">
        <v>0.0055787037037037</v>
      </c>
      <c r="L9" s="8">
        <v>159.0</v>
      </c>
      <c r="M9" s="8">
        <v>150.0</v>
      </c>
      <c r="N9" s="8">
        <v>167.0</v>
      </c>
      <c r="O9" s="8">
        <v>0.0</v>
      </c>
      <c r="P9" s="8">
        <v>3.0</v>
      </c>
      <c r="Q9" s="8">
        <v>115.0</v>
      </c>
      <c r="R9" s="8">
        <v>422.0</v>
      </c>
      <c r="S9" s="17">
        <v>3.3</v>
      </c>
      <c r="T9" s="17">
        <f t="shared" si="1"/>
        <v>22.86282306</v>
      </c>
      <c r="U9" s="20"/>
    </row>
    <row r="10" ht="15.0" customHeight="1">
      <c r="A10" s="28"/>
      <c r="B10" s="28"/>
      <c r="C10" s="28"/>
      <c r="D10" s="29" t="s">
        <v>69</v>
      </c>
      <c r="E10" s="28"/>
      <c r="F10" s="28"/>
      <c r="G10" s="31">
        <f t="shared" ref="G10:I10" si="2">SUM(G5:G9)</f>
        <v>28.22</v>
      </c>
      <c r="H10" s="32">
        <f t="shared" si="2"/>
        <v>0.3216203704</v>
      </c>
      <c r="I10" s="32">
        <f t="shared" si="2"/>
        <v>0.4093518519</v>
      </c>
      <c r="J10" s="28"/>
      <c r="K10" s="28"/>
      <c r="L10" s="33"/>
      <c r="M10" s="28"/>
      <c r="N10" s="28"/>
      <c r="O10" s="28"/>
      <c r="P10" s="28"/>
      <c r="Q10" s="29">
        <f t="shared" ref="Q10:R10" si="3">SUM(Q5:Q9)</f>
        <v>503</v>
      </c>
      <c r="R10" s="29">
        <f t="shared" si="3"/>
        <v>3649</v>
      </c>
      <c r="S10" s="28"/>
      <c r="T10" s="28"/>
      <c r="U10" s="28"/>
    </row>
    <row r="11">
      <c r="A11" s="2"/>
      <c r="B11" s="2"/>
      <c r="C11" s="2"/>
      <c r="D11" s="3" t="s">
        <v>77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5.0" customHeight="1">
      <c r="A12" s="3" t="s">
        <v>79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14.0"/>
    <col customWidth="1" min="4" max="4" width="6.0"/>
    <col customWidth="1" min="5" max="6" width="10.0"/>
    <col customWidth="1" min="7" max="7" width="12.0"/>
    <col customWidth="1" min="8" max="8" width="13.0"/>
    <col customWidth="1" min="9" max="9" width="11.0"/>
    <col customWidth="1" min="10" max="10" width="12.0"/>
    <col customWidth="1" min="11" max="11" width="13.0"/>
    <col customWidth="1" min="12" max="12" width="11.0"/>
    <col customWidth="1" min="13" max="13" width="12.0"/>
    <col customWidth="1" min="14" max="14" width="9.0"/>
    <col customWidth="1" min="15" max="26" width="8.71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30.0" customHeight="1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  <c r="K4" s="5" t="s">
        <v>18</v>
      </c>
      <c r="L4" s="5" t="s">
        <v>19</v>
      </c>
      <c r="M4" s="5" t="s">
        <v>20</v>
      </c>
      <c r="N4" s="5" t="s">
        <v>21</v>
      </c>
    </row>
    <row r="5" ht="15.0" customHeight="1">
      <c r="A5" s="8" t="s">
        <v>22</v>
      </c>
      <c r="B5" s="9" t="s">
        <v>23</v>
      </c>
      <c r="C5" s="8" t="s">
        <v>24</v>
      </c>
      <c r="D5" s="8">
        <v>1.0</v>
      </c>
      <c r="E5" s="10">
        <v>1.0</v>
      </c>
      <c r="F5" s="11">
        <v>0.00622685185185185</v>
      </c>
      <c r="G5" s="12">
        <v>0.00622685185185185</v>
      </c>
      <c r="H5" s="12">
        <f t="shared" ref="H5:H37" si="1">IFERROR(F5/E5,"")</f>
        <v>0.006226851852</v>
      </c>
      <c r="I5" s="8">
        <v>144.0</v>
      </c>
      <c r="J5" s="8">
        <v>83.0</v>
      </c>
      <c r="K5" s="8">
        <v>159.0</v>
      </c>
      <c r="L5" s="8">
        <v>2.0</v>
      </c>
      <c r="M5" s="8">
        <v>1.0</v>
      </c>
      <c r="N5" s="8"/>
    </row>
    <row r="6" ht="15.0" customHeight="1">
      <c r="A6" s="8" t="s">
        <v>22</v>
      </c>
      <c r="B6" s="9" t="s">
        <v>23</v>
      </c>
      <c r="C6" s="8" t="s">
        <v>24</v>
      </c>
      <c r="D6" s="8">
        <v>2.0</v>
      </c>
      <c r="E6" s="10">
        <v>1.0</v>
      </c>
      <c r="F6" s="11">
        <v>0.00634259259259259</v>
      </c>
      <c r="G6" s="12">
        <v>0.00634259259259259</v>
      </c>
      <c r="H6" s="12">
        <f t="shared" si="1"/>
        <v>0.006342592593</v>
      </c>
      <c r="I6" s="8">
        <v>153.0</v>
      </c>
      <c r="J6" s="8">
        <v>83.0</v>
      </c>
      <c r="K6" s="8">
        <v>165.0</v>
      </c>
      <c r="L6" s="8">
        <v>0.0</v>
      </c>
      <c r="M6" s="8">
        <v>2.0</v>
      </c>
      <c r="N6" s="8"/>
    </row>
    <row r="7" ht="15.0" customHeight="1">
      <c r="A7" s="8" t="s">
        <v>22</v>
      </c>
      <c r="B7" s="9" t="s">
        <v>23</v>
      </c>
      <c r="C7" s="8" t="s">
        <v>24</v>
      </c>
      <c r="D7" s="8">
        <v>3.0</v>
      </c>
      <c r="E7" s="10">
        <v>1.0</v>
      </c>
      <c r="F7" s="11">
        <v>0.00630787037037037</v>
      </c>
      <c r="G7" s="12">
        <v>0.00630787037037037</v>
      </c>
      <c r="H7" s="12">
        <f t="shared" si="1"/>
        <v>0.00630787037</v>
      </c>
      <c r="I7" s="8">
        <v>152.0</v>
      </c>
      <c r="J7" s="8">
        <v>82.0</v>
      </c>
      <c r="K7" s="8">
        <v>162.0</v>
      </c>
      <c r="L7" s="8">
        <v>0.0</v>
      </c>
      <c r="M7" s="8">
        <v>2.0</v>
      </c>
      <c r="N7" s="8"/>
    </row>
    <row r="8" ht="15.0" customHeight="1">
      <c r="A8" s="8" t="s">
        <v>22</v>
      </c>
      <c r="B8" s="9" t="s">
        <v>23</v>
      </c>
      <c r="C8" s="8" t="s">
        <v>24</v>
      </c>
      <c r="D8" s="8">
        <v>4.0</v>
      </c>
      <c r="E8" s="10">
        <v>1.0</v>
      </c>
      <c r="F8" s="11">
        <v>0.00585648148148148</v>
      </c>
      <c r="G8" s="12">
        <v>0.00585648148148148</v>
      </c>
      <c r="H8" s="12">
        <f t="shared" si="1"/>
        <v>0.005856481481</v>
      </c>
      <c r="I8" s="8">
        <v>157.0</v>
      </c>
      <c r="J8" s="8">
        <v>86.0</v>
      </c>
      <c r="K8" s="8">
        <v>162.0</v>
      </c>
      <c r="L8" s="8">
        <v>0.0</v>
      </c>
      <c r="M8" s="8">
        <v>1.0</v>
      </c>
      <c r="N8" s="8"/>
    </row>
    <row r="9" ht="15.0" customHeight="1">
      <c r="A9" s="8" t="s">
        <v>22</v>
      </c>
      <c r="B9" s="9" t="s">
        <v>23</v>
      </c>
      <c r="C9" s="8" t="s">
        <v>24</v>
      </c>
      <c r="D9" s="8">
        <v>5.0</v>
      </c>
      <c r="E9" s="10">
        <v>1.0</v>
      </c>
      <c r="F9" s="11">
        <v>0.0055787037037037</v>
      </c>
      <c r="G9" s="12">
        <v>0.0055787037037037</v>
      </c>
      <c r="H9" s="12">
        <f t="shared" si="1"/>
        <v>0.005578703704</v>
      </c>
      <c r="I9" s="8">
        <v>160.0</v>
      </c>
      <c r="J9" s="8">
        <v>92.0</v>
      </c>
      <c r="K9" s="8">
        <v>162.0</v>
      </c>
      <c r="L9" s="8">
        <v>0.0</v>
      </c>
      <c r="M9" s="8">
        <v>1.0</v>
      </c>
      <c r="N9" s="8" t="s">
        <v>42</v>
      </c>
    </row>
    <row r="10" ht="15.0" customHeight="1">
      <c r="A10" s="8" t="s">
        <v>22</v>
      </c>
      <c r="B10" s="9" t="s">
        <v>23</v>
      </c>
      <c r="C10" s="8" t="s">
        <v>24</v>
      </c>
      <c r="D10" s="8">
        <v>6.0</v>
      </c>
      <c r="E10" s="10">
        <v>0.02</v>
      </c>
      <c r="F10" s="11">
        <v>1.15740740740741E-4</v>
      </c>
      <c r="G10" s="12">
        <v>0.00688657407407407</v>
      </c>
      <c r="H10" s="12">
        <f t="shared" si="1"/>
        <v>0.005787037037</v>
      </c>
      <c r="I10" s="8">
        <v>162.0</v>
      </c>
      <c r="J10" s="8">
        <v>93.0</v>
      </c>
      <c r="K10" s="8">
        <v>155.0</v>
      </c>
      <c r="L10" s="8">
        <v>0.0</v>
      </c>
      <c r="M10" s="8">
        <v>0.0</v>
      </c>
      <c r="N10" s="8"/>
    </row>
    <row r="11" ht="15.0" customHeight="1">
      <c r="A11" s="19" t="s">
        <v>44</v>
      </c>
      <c r="B11" s="21" t="s">
        <v>45</v>
      </c>
      <c r="C11" s="19" t="s">
        <v>46</v>
      </c>
      <c r="D11" s="19">
        <v>1.0</v>
      </c>
      <c r="E11" s="22">
        <v>1.0</v>
      </c>
      <c r="F11" s="23">
        <v>0.0359143518518519</v>
      </c>
      <c r="G11" s="24">
        <v>0.0359143518518519</v>
      </c>
      <c r="H11" s="24">
        <f t="shared" si="1"/>
        <v>0.03591435185</v>
      </c>
      <c r="I11" s="19">
        <v>108.0</v>
      </c>
      <c r="J11" s="19" t="s">
        <v>51</v>
      </c>
      <c r="K11" s="19" t="s">
        <v>51</v>
      </c>
      <c r="L11" s="19">
        <v>212.0</v>
      </c>
      <c r="M11" s="19">
        <v>12.0</v>
      </c>
      <c r="N11" s="19"/>
    </row>
    <row r="12" ht="15.0" customHeight="1">
      <c r="A12" s="19" t="s">
        <v>44</v>
      </c>
      <c r="B12" s="21" t="s">
        <v>45</v>
      </c>
      <c r="C12" s="19" t="s">
        <v>46</v>
      </c>
      <c r="D12" s="19">
        <v>2.0</v>
      </c>
      <c r="E12" s="22">
        <v>1.0</v>
      </c>
      <c r="F12" s="23">
        <v>0.0310069444444444</v>
      </c>
      <c r="G12" s="24">
        <v>0.0310069444444444</v>
      </c>
      <c r="H12" s="24">
        <f t="shared" si="1"/>
        <v>0.03100694444</v>
      </c>
      <c r="I12" s="19">
        <v>125.0</v>
      </c>
      <c r="J12" s="19" t="s">
        <v>51</v>
      </c>
      <c r="K12" s="19" t="s">
        <v>51</v>
      </c>
      <c r="L12" s="19">
        <v>160.0</v>
      </c>
      <c r="M12" s="19">
        <v>28.0</v>
      </c>
      <c r="N12" s="19"/>
    </row>
    <row r="13" ht="15.0" customHeight="1">
      <c r="A13" s="19" t="s">
        <v>44</v>
      </c>
      <c r="B13" s="21" t="s">
        <v>45</v>
      </c>
      <c r="C13" s="19" t="s">
        <v>46</v>
      </c>
      <c r="D13" s="19">
        <v>3.0</v>
      </c>
      <c r="E13" s="22">
        <v>1.0</v>
      </c>
      <c r="F13" s="23">
        <v>0.0167361111111111</v>
      </c>
      <c r="G13" s="24">
        <v>0.0167361111111111</v>
      </c>
      <c r="H13" s="24">
        <f t="shared" si="1"/>
        <v>0.01673611111</v>
      </c>
      <c r="I13" s="19">
        <v>121.0</v>
      </c>
      <c r="J13" s="19" t="s">
        <v>51</v>
      </c>
      <c r="K13" s="19" t="s">
        <v>51</v>
      </c>
      <c r="L13" s="19">
        <v>51.0</v>
      </c>
      <c r="M13" s="19">
        <v>43.0</v>
      </c>
      <c r="N13" s="19"/>
    </row>
    <row r="14" ht="15.0" customHeight="1">
      <c r="A14" s="19" t="s">
        <v>44</v>
      </c>
      <c r="B14" s="21" t="s">
        <v>45</v>
      </c>
      <c r="C14" s="19" t="s">
        <v>46</v>
      </c>
      <c r="D14" s="19">
        <v>4.0</v>
      </c>
      <c r="E14" s="22">
        <v>1.0</v>
      </c>
      <c r="F14" s="23">
        <v>0.0192824074074074</v>
      </c>
      <c r="G14" s="24">
        <v>0.0192824074074074</v>
      </c>
      <c r="H14" s="24">
        <f t="shared" si="1"/>
        <v>0.01928240741</v>
      </c>
      <c r="I14" s="19">
        <v>106.0</v>
      </c>
      <c r="J14" s="19" t="s">
        <v>51</v>
      </c>
      <c r="K14" s="19" t="s">
        <v>51</v>
      </c>
      <c r="L14" s="19">
        <v>34.0</v>
      </c>
      <c r="M14" s="19">
        <v>33.0</v>
      </c>
      <c r="N14" s="19"/>
    </row>
    <row r="15" ht="15.0" customHeight="1">
      <c r="A15" s="19" t="s">
        <v>44</v>
      </c>
      <c r="B15" s="21" t="s">
        <v>45</v>
      </c>
      <c r="C15" s="19" t="s">
        <v>46</v>
      </c>
      <c r="D15" s="19">
        <v>5.0</v>
      </c>
      <c r="E15" s="22">
        <v>1.0</v>
      </c>
      <c r="F15" s="23">
        <v>0.0124768518518519</v>
      </c>
      <c r="G15" s="24">
        <v>0.0124768518518519</v>
      </c>
      <c r="H15" s="24">
        <f t="shared" si="1"/>
        <v>0.01247685185</v>
      </c>
      <c r="I15" s="19">
        <v>107.0</v>
      </c>
      <c r="J15" s="19" t="s">
        <v>51</v>
      </c>
      <c r="K15" s="19" t="s">
        <v>51</v>
      </c>
      <c r="L15" s="19">
        <v>23.0</v>
      </c>
      <c r="M15" s="19">
        <v>16.0</v>
      </c>
      <c r="N15" s="19" t="s">
        <v>42</v>
      </c>
    </row>
    <row r="16" ht="15.0" customHeight="1">
      <c r="A16" s="19" t="s">
        <v>44</v>
      </c>
      <c r="B16" s="21" t="s">
        <v>45</v>
      </c>
      <c r="C16" s="19" t="s">
        <v>46</v>
      </c>
      <c r="D16" s="19">
        <v>6.0</v>
      </c>
      <c r="E16" s="22">
        <v>1.0</v>
      </c>
      <c r="F16" s="23">
        <v>0.0187847222222222</v>
      </c>
      <c r="G16" s="24">
        <v>0.0187847222222222</v>
      </c>
      <c r="H16" s="24">
        <f t="shared" si="1"/>
        <v>0.01878472222</v>
      </c>
      <c r="I16" s="19">
        <v>127.0</v>
      </c>
      <c r="J16" s="19" t="s">
        <v>51</v>
      </c>
      <c r="K16" s="19" t="s">
        <v>51</v>
      </c>
      <c r="L16" s="19">
        <v>34.0</v>
      </c>
      <c r="M16" s="19">
        <v>130.0</v>
      </c>
      <c r="N16" s="19"/>
    </row>
    <row r="17" ht="15.0" customHeight="1">
      <c r="A17" s="19" t="s">
        <v>44</v>
      </c>
      <c r="B17" s="21" t="s">
        <v>45</v>
      </c>
      <c r="C17" s="19" t="s">
        <v>46</v>
      </c>
      <c r="D17" s="19">
        <v>7.0</v>
      </c>
      <c r="E17" s="22">
        <v>1.0</v>
      </c>
      <c r="F17" s="23">
        <v>0.0358333333333333</v>
      </c>
      <c r="G17" s="24">
        <v>0.0358333333333333</v>
      </c>
      <c r="H17" s="24">
        <f t="shared" si="1"/>
        <v>0.03583333333</v>
      </c>
      <c r="I17" s="19">
        <v>122.0</v>
      </c>
      <c r="J17" s="19" t="s">
        <v>51</v>
      </c>
      <c r="K17" s="19" t="s">
        <v>51</v>
      </c>
      <c r="L17" s="19">
        <v>0.0</v>
      </c>
      <c r="M17" s="19">
        <v>247.0</v>
      </c>
      <c r="N17" s="19"/>
    </row>
    <row r="18" ht="15.0" customHeight="1">
      <c r="A18" s="19" t="s">
        <v>44</v>
      </c>
      <c r="B18" s="21" t="s">
        <v>45</v>
      </c>
      <c r="C18" s="19" t="s">
        <v>46</v>
      </c>
      <c r="D18" s="19">
        <v>8.0</v>
      </c>
      <c r="E18" s="22">
        <v>1.0</v>
      </c>
      <c r="F18" s="23">
        <v>0.0270833333333333</v>
      </c>
      <c r="G18" s="24">
        <v>0.0270833333333333</v>
      </c>
      <c r="H18" s="24">
        <f t="shared" si="1"/>
        <v>0.02708333333</v>
      </c>
      <c r="I18" s="19">
        <v>116.0</v>
      </c>
      <c r="J18" s="19" t="s">
        <v>51</v>
      </c>
      <c r="K18" s="19" t="s">
        <v>51</v>
      </c>
      <c r="L18" s="19">
        <v>2.0</v>
      </c>
      <c r="M18" s="19">
        <v>167.0</v>
      </c>
      <c r="N18" s="19"/>
    </row>
    <row r="19" ht="15.0" customHeight="1">
      <c r="A19" s="19" t="s">
        <v>44</v>
      </c>
      <c r="B19" s="21" t="s">
        <v>45</v>
      </c>
      <c r="C19" s="19" t="s">
        <v>46</v>
      </c>
      <c r="D19" s="19">
        <v>9.0</v>
      </c>
      <c r="E19" s="22">
        <v>0.13</v>
      </c>
      <c r="F19" s="23">
        <v>0.00240740740740741</v>
      </c>
      <c r="G19" s="24">
        <v>0.01875</v>
      </c>
      <c r="H19" s="24">
        <f t="shared" si="1"/>
        <v>0.01851851852</v>
      </c>
      <c r="I19" s="19">
        <v>123.0</v>
      </c>
      <c r="J19" s="19" t="s">
        <v>51</v>
      </c>
      <c r="K19" s="19" t="s">
        <v>51</v>
      </c>
      <c r="L19" s="19">
        <v>0.0</v>
      </c>
      <c r="M19" s="19">
        <v>5.0</v>
      </c>
      <c r="N19" s="19"/>
    </row>
    <row r="20" ht="15.0" customHeight="1">
      <c r="A20" s="8" t="s">
        <v>56</v>
      </c>
      <c r="B20" s="9" t="s">
        <v>59</v>
      </c>
      <c r="C20" s="8" t="s">
        <v>24</v>
      </c>
      <c r="D20" s="8">
        <v>1.0</v>
      </c>
      <c r="E20" s="10">
        <v>1.0</v>
      </c>
      <c r="F20" s="11">
        <v>0.00590277777777778</v>
      </c>
      <c r="G20" s="12">
        <v>0.00590277777777778</v>
      </c>
      <c r="H20" s="12">
        <f t="shared" si="1"/>
        <v>0.005902777778</v>
      </c>
      <c r="I20" s="8">
        <v>148.0</v>
      </c>
      <c r="J20" s="8">
        <v>147.0</v>
      </c>
      <c r="K20" s="8">
        <v>157.0</v>
      </c>
      <c r="L20" s="8">
        <v>0.0</v>
      </c>
      <c r="M20" s="8">
        <v>0.0</v>
      </c>
      <c r="N20" s="8"/>
    </row>
    <row r="21" ht="15.0" customHeight="1">
      <c r="A21" s="8" t="s">
        <v>56</v>
      </c>
      <c r="B21" s="9" t="s">
        <v>59</v>
      </c>
      <c r="C21" s="8" t="s">
        <v>24</v>
      </c>
      <c r="D21" s="8">
        <v>2.0</v>
      </c>
      <c r="E21" s="10">
        <v>1.0</v>
      </c>
      <c r="F21" s="11">
        <v>0.00628472222222222</v>
      </c>
      <c r="G21" s="12">
        <v>0.00628472222222222</v>
      </c>
      <c r="H21" s="12">
        <f t="shared" si="1"/>
        <v>0.006284722222</v>
      </c>
      <c r="I21" s="8">
        <v>150.0</v>
      </c>
      <c r="J21" s="8">
        <v>145.0</v>
      </c>
      <c r="K21" s="8">
        <v>156.0</v>
      </c>
      <c r="L21" s="8">
        <v>2.0</v>
      </c>
      <c r="M21" s="8">
        <v>2.0</v>
      </c>
      <c r="N21" s="8"/>
    </row>
    <row r="22" ht="15.0" customHeight="1">
      <c r="A22" s="8" t="s">
        <v>56</v>
      </c>
      <c r="B22" s="9" t="s">
        <v>59</v>
      </c>
      <c r="C22" s="8" t="s">
        <v>24</v>
      </c>
      <c r="D22" s="8">
        <v>3.0</v>
      </c>
      <c r="E22" s="10">
        <v>1.0</v>
      </c>
      <c r="F22" s="11">
        <v>0.00575231481481482</v>
      </c>
      <c r="G22" s="12">
        <v>0.00575231481481482</v>
      </c>
      <c r="H22" s="12">
        <f t="shared" si="1"/>
        <v>0.005752314815</v>
      </c>
      <c r="I22" s="8">
        <v>156.0</v>
      </c>
      <c r="J22" s="8">
        <v>157.0</v>
      </c>
      <c r="K22" s="8">
        <v>163.0</v>
      </c>
      <c r="L22" s="8">
        <v>1.0</v>
      </c>
      <c r="M22" s="8">
        <v>1.0</v>
      </c>
      <c r="N22" s="8" t="s">
        <v>42</v>
      </c>
    </row>
    <row r="23" ht="15.0" customHeight="1">
      <c r="A23" s="8" t="s">
        <v>56</v>
      </c>
      <c r="B23" s="9" t="s">
        <v>59</v>
      </c>
      <c r="C23" s="8" t="s">
        <v>24</v>
      </c>
      <c r="D23" s="8">
        <v>4.0</v>
      </c>
      <c r="E23" s="10">
        <v>1.0</v>
      </c>
      <c r="F23" s="11">
        <v>0.00653935185185185</v>
      </c>
      <c r="G23" s="12">
        <v>0.00653935185185185</v>
      </c>
      <c r="H23" s="12">
        <f t="shared" si="1"/>
        <v>0.006539351852</v>
      </c>
      <c r="I23" s="8">
        <v>151.0</v>
      </c>
      <c r="J23" s="8">
        <v>137.0</v>
      </c>
      <c r="K23" s="8">
        <v>149.0</v>
      </c>
      <c r="L23" s="8">
        <v>0.0</v>
      </c>
      <c r="M23" s="8">
        <v>0.0</v>
      </c>
      <c r="N23" s="8"/>
    </row>
    <row r="24" ht="15.0" customHeight="1">
      <c r="A24" s="8" t="s">
        <v>56</v>
      </c>
      <c r="B24" s="9" t="s">
        <v>59</v>
      </c>
      <c r="C24" s="8" t="s">
        <v>24</v>
      </c>
      <c r="D24" s="8">
        <v>5.0</v>
      </c>
      <c r="E24" s="10">
        <v>1.0</v>
      </c>
      <c r="F24" s="11">
        <v>0.00747685185185185</v>
      </c>
      <c r="G24" s="12">
        <v>0.00747685185185185</v>
      </c>
      <c r="H24" s="12">
        <f t="shared" si="1"/>
        <v>0.007476851852</v>
      </c>
      <c r="I24" s="8">
        <v>143.0</v>
      </c>
      <c r="J24" s="8">
        <v>130.0</v>
      </c>
      <c r="K24" s="8">
        <v>138.0</v>
      </c>
      <c r="L24" s="8">
        <v>0.0</v>
      </c>
      <c r="M24" s="8">
        <v>1.0</v>
      </c>
      <c r="N24" s="8"/>
    </row>
    <row r="25" ht="15.0" customHeight="1">
      <c r="A25" s="8" t="s">
        <v>56</v>
      </c>
      <c r="B25" s="9" t="s">
        <v>59</v>
      </c>
      <c r="C25" s="8" t="s">
        <v>24</v>
      </c>
      <c r="D25" s="8">
        <v>6.0</v>
      </c>
      <c r="E25" s="10">
        <v>0.01</v>
      </c>
      <c r="F25" s="11">
        <v>6.94444444444444E-5</v>
      </c>
      <c r="G25" s="12">
        <v>0.00655092592592593</v>
      </c>
      <c r="H25" s="12">
        <f t="shared" si="1"/>
        <v>0.006944444444</v>
      </c>
      <c r="I25" s="8">
        <v>155.0</v>
      </c>
      <c r="J25" s="8">
        <v>157.0</v>
      </c>
      <c r="K25" s="8">
        <v>150.0</v>
      </c>
      <c r="L25" s="8">
        <v>0.0</v>
      </c>
      <c r="M25" s="8">
        <v>0.0</v>
      </c>
      <c r="N25" s="8"/>
    </row>
    <row r="26" ht="15.0" customHeight="1">
      <c r="A26" s="8" t="s">
        <v>61</v>
      </c>
      <c r="B26" s="9" t="s">
        <v>63</v>
      </c>
      <c r="C26" s="8" t="s">
        <v>24</v>
      </c>
      <c r="D26" s="8">
        <v>1.0</v>
      </c>
      <c r="E26" s="10">
        <v>1.0</v>
      </c>
      <c r="F26" s="11">
        <v>0.00627314814814815</v>
      </c>
      <c r="G26" s="12">
        <v>0.00627314814814815</v>
      </c>
      <c r="H26" s="12">
        <f t="shared" si="1"/>
        <v>0.006273148148</v>
      </c>
      <c r="I26" s="8">
        <v>143.0</v>
      </c>
      <c r="J26" s="8">
        <v>139.0</v>
      </c>
      <c r="K26" s="8">
        <v>169.0</v>
      </c>
      <c r="L26" s="8">
        <v>0.0</v>
      </c>
      <c r="M26" s="8">
        <v>0.0</v>
      </c>
      <c r="N26" s="8"/>
    </row>
    <row r="27" ht="15.0" customHeight="1">
      <c r="A27" s="8" t="s">
        <v>61</v>
      </c>
      <c r="B27" s="9" t="s">
        <v>63</v>
      </c>
      <c r="C27" s="8" t="s">
        <v>24</v>
      </c>
      <c r="D27" s="8">
        <v>2.0</v>
      </c>
      <c r="E27" s="10">
        <v>1.0</v>
      </c>
      <c r="F27" s="11">
        <v>0.00577546296296296</v>
      </c>
      <c r="G27" s="12">
        <v>0.00577546296296296</v>
      </c>
      <c r="H27" s="12">
        <f t="shared" si="1"/>
        <v>0.005775462963</v>
      </c>
      <c r="I27" s="8">
        <v>158.0</v>
      </c>
      <c r="J27" s="8">
        <v>150.0</v>
      </c>
      <c r="K27" s="8">
        <v>173.0</v>
      </c>
      <c r="L27" s="8">
        <v>2.0</v>
      </c>
      <c r="M27" s="8">
        <v>3.0</v>
      </c>
      <c r="N27" s="8"/>
    </row>
    <row r="28" ht="15.0" customHeight="1">
      <c r="A28" s="8" t="s">
        <v>61</v>
      </c>
      <c r="B28" s="9" t="s">
        <v>63</v>
      </c>
      <c r="C28" s="8" t="s">
        <v>24</v>
      </c>
      <c r="D28" s="8">
        <v>3.0</v>
      </c>
      <c r="E28" s="10">
        <v>1.0</v>
      </c>
      <c r="F28" s="11">
        <v>0.0058912037037037</v>
      </c>
      <c r="G28" s="12">
        <v>0.0058912037037037</v>
      </c>
      <c r="H28" s="12">
        <f t="shared" si="1"/>
        <v>0.005891203704</v>
      </c>
      <c r="I28" s="8">
        <v>160.0</v>
      </c>
      <c r="J28" s="8">
        <v>147.0</v>
      </c>
      <c r="K28" s="8">
        <v>168.0</v>
      </c>
      <c r="L28" s="8">
        <v>1.0</v>
      </c>
      <c r="M28" s="8">
        <v>0.0</v>
      </c>
      <c r="N28" s="8"/>
    </row>
    <row r="29" ht="15.0" customHeight="1">
      <c r="A29" s="8" t="s">
        <v>61</v>
      </c>
      <c r="B29" s="9" t="s">
        <v>63</v>
      </c>
      <c r="C29" s="8" t="s">
        <v>24</v>
      </c>
      <c r="D29" s="8">
        <v>4.0</v>
      </c>
      <c r="E29" s="10">
        <v>1.0</v>
      </c>
      <c r="F29" s="11">
        <v>0.00601851851851852</v>
      </c>
      <c r="G29" s="12">
        <v>0.00601851851851852</v>
      </c>
      <c r="H29" s="12">
        <f t="shared" si="1"/>
        <v>0.006018518519</v>
      </c>
      <c r="I29" s="8">
        <v>162.0</v>
      </c>
      <c r="J29" s="8">
        <v>155.0</v>
      </c>
      <c r="K29" s="8">
        <v>167.0</v>
      </c>
      <c r="L29" s="8">
        <v>1.0</v>
      </c>
      <c r="M29" s="8">
        <v>0.0</v>
      </c>
      <c r="N29" s="8"/>
    </row>
    <row r="30" ht="15.0" customHeight="1">
      <c r="A30" s="8" t="s">
        <v>61</v>
      </c>
      <c r="B30" s="9" t="s">
        <v>63</v>
      </c>
      <c r="C30" s="8" t="s">
        <v>24</v>
      </c>
      <c r="D30" s="8">
        <v>5.0</v>
      </c>
      <c r="E30" s="10">
        <v>1.0</v>
      </c>
      <c r="F30" s="11">
        <v>0.00552083333333333</v>
      </c>
      <c r="G30" s="12">
        <v>0.00552083333333333</v>
      </c>
      <c r="H30" s="12">
        <f t="shared" si="1"/>
        <v>0.005520833333</v>
      </c>
      <c r="I30" s="8">
        <v>164.0</v>
      </c>
      <c r="J30" s="8">
        <v>161.0</v>
      </c>
      <c r="K30" s="8">
        <v>166.0</v>
      </c>
      <c r="L30" s="8">
        <v>2.0</v>
      </c>
      <c r="M30" s="8">
        <v>2.0</v>
      </c>
      <c r="N30" s="8" t="s">
        <v>42</v>
      </c>
    </row>
    <row r="31" ht="15.0" customHeight="1">
      <c r="A31" s="8" t="s">
        <v>61</v>
      </c>
      <c r="B31" s="9" t="s">
        <v>63</v>
      </c>
      <c r="C31" s="8" t="s">
        <v>24</v>
      </c>
      <c r="D31" s="8">
        <v>6.0</v>
      </c>
      <c r="E31" s="10">
        <v>0.03</v>
      </c>
      <c r="F31" s="11">
        <v>1.85185185185185E-4</v>
      </c>
      <c r="G31" s="12">
        <v>0.00554398148148148</v>
      </c>
      <c r="H31" s="12">
        <f t="shared" si="1"/>
        <v>0.006172839506</v>
      </c>
      <c r="I31" s="8">
        <v>167.0</v>
      </c>
      <c r="J31" s="8">
        <v>157.0</v>
      </c>
      <c r="K31" s="8">
        <v>168.0</v>
      </c>
      <c r="L31" s="8">
        <v>0.0</v>
      </c>
      <c r="M31" s="8">
        <v>0.0</v>
      </c>
      <c r="N31" s="8"/>
    </row>
    <row r="32" ht="15.0" customHeight="1">
      <c r="A32" s="8" t="s">
        <v>65</v>
      </c>
      <c r="B32" s="9" t="s">
        <v>63</v>
      </c>
      <c r="C32" s="8" t="s">
        <v>24</v>
      </c>
      <c r="D32" s="8">
        <v>1.0</v>
      </c>
      <c r="E32" s="10">
        <v>1.0</v>
      </c>
      <c r="F32" s="11">
        <v>0.00571759259259259</v>
      </c>
      <c r="G32" s="12">
        <v>0.00571759259259259</v>
      </c>
      <c r="H32" s="12">
        <f t="shared" si="1"/>
        <v>0.005717592593</v>
      </c>
      <c r="I32" s="8">
        <v>147.0</v>
      </c>
      <c r="J32" s="8">
        <v>151.0</v>
      </c>
      <c r="K32" s="8">
        <v>164.0</v>
      </c>
      <c r="L32" s="8">
        <v>0.0</v>
      </c>
      <c r="M32" s="8">
        <v>0.0</v>
      </c>
      <c r="N32" s="8" t="s">
        <v>42</v>
      </c>
    </row>
    <row r="33" ht="15.0" customHeight="1">
      <c r="A33" s="8" t="s">
        <v>65</v>
      </c>
      <c r="B33" s="9" t="s">
        <v>63</v>
      </c>
      <c r="C33" s="8" t="s">
        <v>24</v>
      </c>
      <c r="D33" s="8">
        <v>2.0</v>
      </c>
      <c r="E33" s="10">
        <v>1.0</v>
      </c>
      <c r="F33" s="11">
        <v>0.0059375</v>
      </c>
      <c r="G33" s="12">
        <v>0.0059375</v>
      </c>
      <c r="H33" s="12">
        <f t="shared" si="1"/>
        <v>0.0059375</v>
      </c>
      <c r="I33" s="8">
        <v>160.0</v>
      </c>
      <c r="J33" s="8">
        <v>158.0</v>
      </c>
      <c r="K33" s="8">
        <v>170.0</v>
      </c>
      <c r="L33" s="8">
        <v>0.0</v>
      </c>
      <c r="M33" s="8">
        <v>1.0</v>
      </c>
      <c r="N33" s="8"/>
    </row>
    <row r="34" ht="15.0" customHeight="1">
      <c r="A34" s="8" t="s">
        <v>65</v>
      </c>
      <c r="B34" s="9" t="s">
        <v>63</v>
      </c>
      <c r="C34" s="8" t="s">
        <v>24</v>
      </c>
      <c r="D34" s="8">
        <v>3.0</v>
      </c>
      <c r="E34" s="10">
        <v>1.0</v>
      </c>
      <c r="F34" s="11">
        <v>0.00600694444444444</v>
      </c>
      <c r="G34" s="12">
        <v>0.00600694444444444</v>
      </c>
      <c r="H34" s="12">
        <f t="shared" si="1"/>
        <v>0.006006944444</v>
      </c>
      <c r="I34" s="8">
        <v>161.0</v>
      </c>
      <c r="J34" s="8">
        <v>149.0</v>
      </c>
      <c r="K34" s="8">
        <v>168.0</v>
      </c>
      <c r="L34" s="8">
        <v>0.0</v>
      </c>
      <c r="M34" s="8">
        <v>1.0</v>
      </c>
      <c r="N34" s="8"/>
    </row>
    <row r="35" ht="15.0" customHeight="1">
      <c r="A35" s="8" t="s">
        <v>65</v>
      </c>
      <c r="B35" s="9" t="s">
        <v>63</v>
      </c>
      <c r="C35" s="8" t="s">
        <v>24</v>
      </c>
      <c r="D35" s="8">
        <v>4.0</v>
      </c>
      <c r="E35" s="10">
        <v>1.0</v>
      </c>
      <c r="F35" s="11">
        <v>0.00612268518518519</v>
      </c>
      <c r="G35" s="12">
        <v>0.00612268518518519</v>
      </c>
      <c r="H35" s="12">
        <f t="shared" si="1"/>
        <v>0.006122685185</v>
      </c>
      <c r="I35" s="8">
        <v>161.0</v>
      </c>
      <c r="J35" s="8">
        <v>146.0</v>
      </c>
      <c r="K35" s="8">
        <v>168.0</v>
      </c>
      <c r="L35" s="8">
        <v>0.0</v>
      </c>
      <c r="M35" s="8">
        <v>0.0</v>
      </c>
      <c r="N35" s="8"/>
    </row>
    <row r="36" ht="15.0" customHeight="1">
      <c r="A36" s="8" t="s">
        <v>65</v>
      </c>
      <c r="B36" s="9" t="s">
        <v>63</v>
      </c>
      <c r="C36" s="8" t="s">
        <v>24</v>
      </c>
      <c r="D36" s="8">
        <v>5.0</v>
      </c>
      <c r="E36" s="10">
        <v>1.0</v>
      </c>
      <c r="F36" s="11">
        <v>0.00592592592592593</v>
      </c>
      <c r="G36" s="12">
        <v>0.00592592592592593</v>
      </c>
      <c r="H36" s="12">
        <f t="shared" si="1"/>
        <v>0.005925925926</v>
      </c>
      <c r="I36" s="8">
        <v>164.0</v>
      </c>
      <c r="J36" s="8">
        <v>149.0</v>
      </c>
      <c r="K36" s="8">
        <v>166.0</v>
      </c>
      <c r="L36" s="8">
        <v>0.0</v>
      </c>
      <c r="M36" s="8">
        <v>1.0</v>
      </c>
      <c r="N36" s="8"/>
    </row>
    <row r="37" ht="15.0" customHeight="1">
      <c r="A37" s="8" t="s">
        <v>65</v>
      </c>
      <c r="B37" s="9" t="s">
        <v>63</v>
      </c>
      <c r="C37" s="8" t="s">
        <v>24</v>
      </c>
      <c r="D37" s="8">
        <v>6.0</v>
      </c>
      <c r="E37" s="10">
        <v>0.03</v>
      </c>
      <c r="F37" s="11">
        <v>2.77777777777778E-4</v>
      </c>
      <c r="G37" s="12">
        <v>0.00880787037037037</v>
      </c>
      <c r="H37" s="12">
        <f t="shared" si="1"/>
        <v>0.009259259259</v>
      </c>
      <c r="I37" s="8">
        <v>167.0</v>
      </c>
      <c r="J37" s="8">
        <v>146.0</v>
      </c>
      <c r="K37" s="8">
        <v>154.0</v>
      </c>
      <c r="L37" s="8">
        <v>0.0</v>
      </c>
      <c r="M37" s="8">
        <v>0.0</v>
      </c>
      <c r="N37" s="8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ht="15.0" customHeight="1">
      <c r="A39" s="3" t="s">
        <v>80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5" width="16.0"/>
    <col customWidth="1" min="6" max="6" width="58.0"/>
    <col customWidth="1" min="7" max="26" width="8.71"/>
  </cols>
  <sheetData>
    <row r="1" ht="17.25" customHeight="1">
      <c r="A1" s="1" t="s">
        <v>2</v>
      </c>
      <c r="B1" s="2"/>
      <c r="C1" s="2"/>
      <c r="D1" s="2"/>
      <c r="E1" s="2"/>
      <c r="F1" s="2"/>
    </row>
    <row r="2" ht="15.0" customHeight="1">
      <c r="A2" s="3" t="s">
        <v>3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 ht="15.0" customHeight="1">
      <c r="A4" s="4" t="s">
        <v>5</v>
      </c>
      <c r="B4" s="6"/>
      <c r="C4" s="6"/>
      <c r="D4" s="6"/>
      <c r="E4" s="6"/>
      <c r="F4" s="6"/>
    </row>
    <row r="5" ht="15.0" customHeight="1">
      <c r="A5" s="7" t="s">
        <v>17</v>
      </c>
      <c r="B5" s="13">
        <f>SUM(Ringkasan!$G$5:$G$9)</f>
        <v>28.22</v>
      </c>
      <c r="C5" s="14"/>
      <c r="D5" s="14"/>
      <c r="E5" s="14"/>
      <c r="F5" s="15"/>
    </row>
    <row r="6" ht="15.0" customHeight="1">
      <c r="A6" s="7" t="s">
        <v>38</v>
      </c>
      <c r="B6" s="16">
        <f>SUM(Ringkasan!$H$5:$H$9)</f>
        <v>0.3216203704</v>
      </c>
      <c r="C6" s="14"/>
      <c r="D6" s="14"/>
      <c r="E6" s="14"/>
      <c r="F6" s="15"/>
    </row>
    <row r="7" ht="15.0" customHeight="1">
      <c r="A7" s="7" t="s">
        <v>40</v>
      </c>
      <c r="B7" s="18">
        <f>SUM(Ringkasan!$Q$5:$Q$9)</f>
        <v>503</v>
      </c>
      <c r="C7" s="14"/>
      <c r="D7" s="14"/>
      <c r="E7" s="14"/>
      <c r="F7" s="15"/>
    </row>
    <row r="8" ht="15.0" customHeight="1">
      <c r="A8" s="7" t="s">
        <v>41</v>
      </c>
      <c r="B8" s="18">
        <f>SUM(Ringkasan!$R$5:$R$9)</f>
        <v>3649</v>
      </c>
      <c r="C8" s="14"/>
      <c r="D8" s="14"/>
      <c r="E8" s="14"/>
      <c r="F8" s="15"/>
    </row>
    <row r="9" ht="15.0" customHeight="1">
      <c r="A9" s="7" t="s">
        <v>43</v>
      </c>
      <c r="B9" s="18">
        <f>COUNTIFS(Ringkasan!$E$5:$E$9,"Easy Run")</f>
        <v>4</v>
      </c>
      <c r="C9" s="14"/>
      <c r="D9" s="14"/>
      <c r="E9" s="14"/>
      <c r="F9" s="15"/>
    </row>
    <row r="10" ht="15.0" customHeight="1">
      <c r="A10" s="7" t="s">
        <v>47</v>
      </c>
      <c r="B10" s="18">
        <f>COUNTIFS(Ringkasan!$E$5:$E$9,"Hiking Santai")</f>
        <v>1</v>
      </c>
      <c r="C10" s="14"/>
      <c r="D10" s="14"/>
      <c r="E10" s="14"/>
      <c r="F10" s="15" t="s">
        <v>50</v>
      </c>
    </row>
    <row r="11">
      <c r="A11" s="2"/>
      <c r="B11" s="2"/>
      <c r="C11" s="2"/>
      <c r="D11" s="2"/>
      <c r="E11" s="2"/>
      <c r="F11" s="2"/>
    </row>
    <row r="12" ht="15.0" customHeight="1">
      <c r="A12" s="4" t="s">
        <v>52</v>
      </c>
      <c r="B12" s="6"/>
      <c r="C12" s="6"/>
      <c r="D12" s="6"/>
      <c r="E12" s="6"/>
      <c r="F12" s="6"/>
    </row>
    <row r="13" ht="15.0" customHeight="1">
      <c r="A13" s="7" t="s">
        <v>53</v>
      </c>
      <c r="B13" s="13">
        <f>SUMIFS(Ringkasan!$G$5:$G$9,Ringkasan!$E$5:$E$9,"Easy Run")</f>
        <v>20.09</v>
      </c>
      <c r="C13" s="14"/>
      <c r="D13" s="14"/>
      <c r="E13" s="14"/>
      <c r="F13" s="15"/>
    </row>
    <row r="14" ht="15.0" customHeight="1">
      <c r="A14" s="7" t="s">
        <v>54</v>
      </c>
      <c r="B14" s="27">
        <f>AVERAGEIFS(Ringkasan!$J$5:$J$9,Ringkasan!$E$5:$E$9,"Easy Run")</f>
        <v>0.006076388889</v>
      </c>
      <c r="C14" s="14"/>
      <c r="D14" s="14"/>
      <c r="E14" s="14"/>
      <c r="F14" s="15"/>
    </row>
    <row r="15" ht="15.0" customHeight="1">
      <c r="A15" s="7" t="s">
        <v>58</v>
      </c>
      <c r="B15" s="27">
        <f>MINIFS(Ringkasan!$K$5:$K$9,Ringkasan!$E$5:$E$9,"Easy Run")</f>
        <v>0.005428240741</v>
      </c>
      <c r="C15" s="14"/>
      <c r="D15" s="14"/>
      <c r="E15" s="14"/>
      <c r="F15" s="15"/>
    </row>
    <row r="16" ht="15.0" customHeight="1">
      <c r="A16" s="7" t="s">
        <v>60</v>
      </c>
      <c r="B16" s="18">
        <f>AVERAGEIFS(Ringkasan!$L$5:$L$9,Ringkasan!$E$5:$E$9,"Easy Run")</f>
        <v>154.5</v>
      </c>
      <c r="C16" s="14"/>
      <c r="D16" s="14"/>
      <c r="E16" s="14"/>
      <c r="F16" s="15"/>
    </row>
    <row r="17" ht="15.0" customHeight="1">
      <c r="A17" s="7" t="s">
        <v>64</v>
      </c>
      <c r="B17" s="18">
        <f>AVERAGEIFS(Ringkasan!$N$5:$N$9,Ringkasan!$E$5:$E$9,"Easy Run")</f>
        <v>162.25</v>
      </c>
      <c r="C17" s="14"/>
      <c r="D17" s="14"/>
      <c r="E17" s="14"/>
      <c r="F17" s="15"/>
    </row>
    <row r="18" ht="15.0" customHeight="1">
      <c r="A18" s="7" t="s">
        <v>67</v>
      </c>
      <c r="B18" s="18">
        <f>AVERAGEIFS(Ringkasan!$Q$5:$Q$9,Ringkasan!$E$5:$E$9,"Easy Run")</f>
        <v>101.25</v>
      </c>
      <c r="C18" s="14"/>
      <c r="D18" s="14"/>
      <c r="E18" s="14"/>
      <c r="F18" s="15"/>
    </row>
    <row r="19" ht="15.0" customHeight="1">
      <c r="A19" s="7" t="s">
        <v>68</v>
      </c>
      <c r="B19" s="30">
        <f>SUMIFS(Ringkasan!$Q$5:$Q$9,Ringkasan!$E$5:$E$9,"Easy Run")/SUMIFS(Ringkasan!$G$5:$G$9,Ringkasan!$E$5:$E$9,"Easy Run")</f>
        <v>20.15928323</v>
      </c>
      <c r="C19" s="14"/>
      <c r="D19" s="14"/>
      <c r="E19" s="14"/>
      <c r="F19" s="15"/>
    </row>
    <row r="20">
      <c r="A20" s="2"/>
      <c r="B20" s="2"/>
      <c r="C20" s="2"/>
      <c r="D20" s="2"/>
      <c r="E20" s="2"/>
      <c r="F20" s="2"/>
    </row>
    <row r="21" ht="15.0" customHeight="1">
      <c r="A21" s="4" t="s">
        <v>70</v>
      </c>
      <c r="B21" s="6"/>
      <c r="C21" s="6"/>
      <c r="D21" s="6"/>
      <c r="E21" s="6"/>
      <c r="F21" s="6"/>
    </row>
    <row r="22" ht="30.0" customHeight="1">
      <c r="A22" s="5" t="s">
        <v>71</v>
      </c>
      <c r="B22" s="5" t="s">
        <v>72</v>
      </c>
      <c r="C22" s="5" t="s">
        <v>73</v>
      </c>
      <c r="D22" s="5" t="s">
        <v>74</v>
      </c>
      <c r="E22" s="5" t="s">
        <v>75</v>
      </c>
      <c r="F22" s="5" t="s">
        <v>76</v>
      </c>
    </row>
    <row r="23" ht="15.0" customHeight="1">
      <c r="A23" s="34" t="str">
        <f>Ringkasan!$B$5&amp;" — "&amp;Ringkasan!$D$5</f>
        <v>2026-08-26 — West Jakarta Run</v>
      </c>
      <c r="B23" s="35">
        <f>Ringkasan!$J$5</f>
        <v>0.006064814815</v>
      </c>
      <c r="C23" s="36" t="s">
        <v>78</v>
      </c>
      <c r="D23" s="37">
        <f>Ringkasan!$L$5</f>
        <v>153</v>
      </c>
      <c r="E23" s="36" t="s">
        <v>78</v>
      </c>
      <c r="F23" s="38" t="s">
        <v>81</v>
      </c>
    </row>
    <row r="24" ht="15.0" customHeight="1">
      <c r="A24" s="34" t="str">
        <f>Ringkasan!$B$7&amp;" — "&amp;Ringkasan!$D$7</f>
        <v>2026-09-01 — Central Jakarta Run</v>
      </c>
      <c r="B24" s="35">
        <f>Ringkasan!$J$7</f>
        <v>0.006388888889</v>
      </c>
      <c r="C24" s="39">
        <f>(Ringkasan!$J$7-Ringkasan!$J$5)*86400</f>
        <v>28</v>
      </c>
      <c r="D24" s="37">
        <f>Ringkasan!$L$7</f>
        <v>149</v>
      </c>
      <c r="E24" s="40">
        <f>Ringkasan!$L$7-Ringkasan!$L$5</f>
        <v>-4</v>
      </c>
      <c r="F24" s="36" t="str">
        <f>TEXT(Ringkasan!$S$7,"0.0")&amp;" TE  /  "&amp;TEXT(Ringkasan!$Q$7,"0")&amp;" load"</f>
        <v>2.9 TE  /  88 load</v>
      </c>
    </row>
    <row r="25" ht="15.0" customHeight="1">
      <c r="A25" s="34" t="str">
        <f>Ringkasan!$B$8&amp;" — "&amp;Ringkasan!$D$8</f>
        <v>2026-09-03 — Jakarta Run</v>
      </c>
      <c r="B25" s="35">
        <f>Ringkasan!$J$8</f>
        <v>0.005891203704</v>
      </c>
      <c r="C25" s="39">
        <f>(Ringkasan!$J$8-Ringkasan!$J$7)*86400</f>
        <v>-43</v>
      </c>
      <c r="D25" s="37">
        <f>Ringkasan!$L$8</f>
        <v>157</v>
      </c>
      <c r="E25" s="40">
        <f>Ringkasan!$L$8-Ringkasan!$L$7</f>
        <v>8</v>
      </c>
      <c r="F25" s="36" t="str">
        <f>TEXT(Ringkasan!$S$8,"0.0")&amp;" TE  /  "&amp;TEXT(Ringkasan!$Q$8,"0")&amp;" load"</f>
        <v>3.2 TE  /  108 load</v>
      </c>
    </row>
    <row r="26" ht="15.0" customHeight="1">
      <c r="A26" s="34" t="str">
        <f>Ringkasan!$B$9&amp;" — "&amp;Ringkasan!$D$9</f>
        <v>2026-09-06 — Jakarta Run</v>
      </c>
      <c r="B26" s="35">
        <f>Ringkasan!$J$9</f>
        <v>0.005960648148</v>
      </c>
      <c r="C26" s="39">
        <f>(Ringkasan!$J$9-Ringkasan!$J$8)*86400</f>
        <v>6</v>
      </c>
      <c r="D26" s="37">
        <f>Ringkasan!$L$9</f>
        <v>159</v>
      </c>
      <c r="E26" s="40">
        <f>Ringkasan!$L$9-Ringkasan!$L$8</f>
        <v>2</v>
      </c>
      <c r="F26" s="36" t="str">
        <f>TEXT(Ringkasan!$S$9,"0.0")&amp;" TE  /  "&amp;TEXT(Ringkasan!$Q$9,"0")&amp;" load"</f>
        <v>3.3 TE  /  115 load</v>
      </c>
    </row>
    <row r="27" ht="15.75" customHeight="1">
      <c r="A27" s="2"/>
      <c r="B27" s="2"/>
      <c r="C27" s="2"/>
      <c r="D27" s="2"/>
      <c r="E27" s="2"/>
      <c r="F27" s="2"/>
    </row>
    <row r="28" ht="15.0" customHeight="1">
      <c r="A28" s="4" t="s">
        <v>82</v>
      </c>
      <c r="B28" s="6"/>
      <c r="C28" s="6"/>
      <c r="D28" s="6"/>
      <c r="E28" s="6"/>
      <c r="F28" s="6"/>
    </row>
    <row r="29" ht="15.0" customHeight="1">
      <c r="A29" s="7" t="s">
        <v>83</v>
      </c>
      <c r="B29" s="27">
        <f>MINIFS('Detail Lap'!$F$5:$F$37,'Detail Lap'!$C$5:$C$37,"Easy Run",'Detail Lap'!$E$5:$E$37,1)</f>
        <v>0.005520833333</v>
      </c>
      <c r="C29" s="14"/>
      <c r="D29" s="14"/>
      <c r="E29" s="14"/>
      <c r="F29" s="15"/>
    </row>
    <row r="30" ht="15.0" customHeight="1">
      <c r="A30" s="7" t="s">
        <v>84</v>
      </c>
      <c r="B30" s="27">
        <f>MAXIFS('Detail Lap'!$F$5:$F$37,'Detail Lap'!$C$5:$C$37,"Easy Run",'Detail Lap'!$E$5:$E$37,1)</f>
        <v>0.007476851852</v>
      </c>
      <c r="C30" s="14"/>
      <c r="D30" s="14"/>
      <c r="E30" s="14"/>
      <c r="F30" s="15"/>
    </row>
    <row r="31" ht="15.0" customHeight="1">
      <c r="A31" s="7" t="s">
        <v>85</v>
      </c>
      <c r="B31" s="27">
        <f>AVERAGEIFS('Detail Lap'!$F$5:$F$37,'Detail Lap'!$C$5:$C$37,"Easy Run",'Detail Lap'!$E$5:$E$37,1)</f>
        <v>0.006072916667</v>
      </c>
      <c r="C31" s="14"/>
      <c r="D31" s="14"/>
      <c r="E31" s="14"/>
      <c r="F31" s="15"/>
    </row>
    <row r="32" ht="15.0" customHeight="1">
      <c r="A32" s="7" t="s">
        <v>86</v>
      </c>
      <c r="B32" s="18">
        <f>COUNTIFS('Detail Lap'!$C$5:$C$37,"Easy Run",'Detail Lap'!$E$5:$E$37,1)</f>
        <v>20</v>
      </c>
      <c r="C32" s="14"/>
      <c r="D32" s="14"/>
      <c r="E32" s="14"/>
      <c r="F32" s="15"/>
    </row>
    <row r="33" ht="15.75" customHeight="1">
      <c r="A33" s="2"/>
      <c r="B33" s="2"/>
      <c r="C33" s="2"/>
      <c r="D33" s="2"/>
      <c r="E33" s="2"/>
      <c r="F33" s="2"/>
    </row>
    <row r="34" ht="15.0" customHeight="1">
      <c r="A34" s="4" t="s">
        <v>87</v>
      </c>
      <c r="B34" s="6"/>
      <c r="C34" s="6"/>
      <c r="D34" s="6"/>
      <c r="E34" s="6"/>
      <c r="F34" s="6"/>
    </row>
    <row r="35" ht="30.0" customHeight="1">
      <c r="A35" s="41" t="s">
        <v>88</v>
      </c>
    </row>
    <row r="36" ht="30.0" customHeight="1">
      <c r="A36" s="41" t="s">
        <v>89</v>
      </c>
    </row>
    <row r="37" ht="30.0" customHeight="1">
      <c r="A37" s="41" t="s">
        <v>90</v>
      </c>
    </row>
    <row r="38" ht="30.0" customHeight="1">
      <c r="A38" s="41" t="s">
        <v>91</v>
      </c>
    </row>
    <row r="39" ht="30.0" customHeight="1">
      <c r="A39" s="41" t="s">
        <v>92</v>
      </c>
    </row>
    <row r="40" ht="30.0" customHeight="1">
      <c r="A40" s="41" t="s">
        <v>93</v>
      </c>
    </row>
    <row r="41" ht="30.0" customHeight="1">
      <c r="A41" s="41" t="s">
        <v>94</v>
      </c>
    </row>
    <row r="42" ht="30.0" customHeight="1">
      <c r="A42" s="41" t="s">
        <v>95</v>
      </c>
    </row>
    <row r="43" ht="15.75" customHeight="1">
      <c r="A43" s="2"/>
      <c r="B43" s="2"/>
      <c r="C43" s="2"/>
      <c r="D43" s="2"/>
      <c r="E43" s="2"/>
      <c r="F43" s="2"/>
    </row>
    <row r="44" ht="15.0" customHeight="1">
      <c r="A44" s="3" t="s">
        <v>96</v>
      </c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8">
    <mergeCell ref="A35:F35"/>
    <mergeCell ref="A36:F36"/>
    <mergeCell ref="A37:F37"/>
    <mergeCell ref="A38:F38"/>
    <mergeCell ref="A39:F39"/>
    <mergeCell ref="A40:F40"/>
    <mergeCell ref="A41:F41"/>
    <mergeCell ref="A42:F42"/>
  </mergeCells>
  <printOptions/>
  <pageMargins bottom="1.0" footer="0.0" header="0.0" left="0.75" right="0.75" top="1.0"/>
  <pageSetup paperSize="9" orientation="portrait"/>
  <drawing r:id="rId1"/>
</worksheet>
</file>