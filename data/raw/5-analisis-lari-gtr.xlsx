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omparatif" sheetId="2" state="visible" r:id="rId2"/>
    <sheet xmlns:r="http://schemas.openxmlformats.org/officeDocument/2006/relationships" name="Tren Periode" sheetId="3" state="visible" r:id="rId3"/>
    <sheet xmlns:r="http://schemas.openxmlformats.org/officeDocument/2006/relationships" name="Analisis Performa" sheetId="4" state="visible" r:id="rId4"/>
    <sheet xmlns:r="http://schemas.openxmlformats.org/officeDocument/2006/relationships" name="Detail Lap" sheetId="5" state="visible" r:id="rId5"/>
    <sheet xmlns:r="http://schemas.openxmlformats.org/officeDocument/2006/relationships" name="Kesiapan GTR" sheetId="6" state="visible" r:id="rId6"/>
    <sheet xmlns:r="http://schemas.openxmlformats.org/officeDocument/2006/relationships" name="Proyeksi GTR" sheetId="7" state="visible" r:id="rId7"/>
  </sheets>
  <definedNames>
    <definedName name="_xlnm._FilterDatabase" localSheetId="1" hidden="1">'Komparatif'!$A$4:$AK$22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[m]:ss"/>
    <numFmt numFmtId="167" formatCode="0.0%"/>
    <numFmt numFmtId="168" formatCode="0.000"/>
    <numFmt numFmtId="169" formatCode="0.0"/>
    <numFmt numFmtId="170" formatCode="+0 &quot;menit&quot;;-0 &quot;menit&quot;;0"/>
  </numFmts>
  <fonts count="12">
    <font>
      <name val="Calibri"/>
      <family val="2"/>
      <color theme="1"/>
      <sz val="11"/>
      <scheme val="minor"/>
    </font>
    <font>
      <name val="Arial"/>
      <b val="1"/>
      <color rgb="FF005A64"/>
      <sz val="18"/>
    </font>
    <font>
      <name val="Arial"/>
      <color rgb="FF6A7574"/>
      <sz val="9"/>
    </font>
    <font>
      <name val="Arial"/>
      <b val="1"/>
      <color rgb="FF005A64"/>
      <sz val="10"/>
    </font>
    <font>
      <name val="Arial"/>
      <sz val="10"/>
    </font>
    <font>
      <name val="Arial"/>
      <b val="1"/>
      <sz val="10"/>
    </font>
    <font>
      <name val="Arial"/>
      <b val="1"/>
      <color rgb="FF005A64"/>
      <sz val="16"/>
    </font>
    <font>
      <name val="Arial"/>
      <b val="1"/>
      <color rgb="FFFFFFFF"/>
      <sz val="9"/>
    </font>
    <font>
      <name val="Arial"/>
      <color rgb="FF0000FF"/>
      <sz val="10"/>
    </font>
    <font>
      <name val="Arial"/>
      <b val="1"/>
      <color rgb="FF005A64"/>
      <sz val="11"/>
    </font>
    <font>
      <name val="Arial"/>
      <b val="1"/>
      <color rgb="FF005A64"/>
      <sz val="12"/>
    </font>
    <font>
      <name val="Arial"/>
      <b val="1"/>
      <color rgb="FFC2410C"/>
      <sz val="10"/>
    </font>
  </fonts>
  <fills count="8">
    <fill>
      <patternFill/>
    </fill>
    <fill>
      <patternFill patternType="gray125"/>
    </fill>
    <fill>
      <patternFill patternType="solid">
        <fgColor rgb="FF005A64"/>
      </patternFill>
    </fill>
    <fill>
      <patternFill patternType="solid">
        <fgColor rgb="FFF3F7F7"/>
      </patternFill>
    </fill>
    <fill>
      <patternFill patternType="solid">
        <fgColor rgb="FFE2F0E9"/>
      </patternFill>
    </fill>
    <fill>
      <patternFill patternType="solid">
        <fgColor rgb="FFE3EDED"/>
      </patternFill>
    </fill>
    <fill>
      <patternFill patternType="solid">
        <fgColor rgb="FFFFF6CC"/>
      </patternFill>
    </fill>
    <fill>
      <patternFill patternType="solid">
        <fgColor rgb="FFFBE7DD"/>
      </patternFill>
    </fill>
  </fills>
  <borders count="2">
    <border>
      <left/>
      <right/>
      <top/>
      <bottom/>
      <diagonal/>
    </border>
    <border>
      <left style="thin">
        <color rgb="FFD0DADA"/>
      </left>
      <right style="thin">
        <color rgb="FFD0DADA"/>
      </right>
      <top style="thin">
        <color rgb="FFD0DADA"/>
      </top>
      <bottom style="thin">
        <color rgb="FFD0DADA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46" fontId="4" fillId="0" borderId="1" pivotButton="0" quotePrefix="0" xfId="0"/>
    <xf numFmtId="4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pivotButton="0" quotePrefix="0" xfId="0"/>
    <xf numFmtId="165" fontId="4" fillId="3" borderId="1" pivotButton="0" quotePrefix="0" xfId="0"/>
    <xf numFmtId="2" fontId="4" fillId="3" borderId="1" pivotButton="0" quotePrefix="0" xfId="0"/>
    <xf numFmtId="46" fontId="4" fillId="3" borderId="1" pivotButton="0" quotePrefix="0" xfId="0"/>
    <xf numFmtId="45" fontId="4" fillId="3" borderId="1" pivotButton="0" quotePrefix="0" xfId="0"/>
    <xf numFmtId="166" fontId="4" fillId="3" borderId="1" pivotButton="0" quotePrefix="0" xfId="0"/>
    <xf numFmtId="167" fontId="4" fillId="3" borderId="1" pivotButton="0" quotePrefix="0" xfId="0"/>
    <xf numFmtId="168" fontId="4" fillId="3" borderId="1" pivotButton="0" quotePrefix="0" xfId="0"/>
    <xf numFmtId="169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4" borderId="1" pivotButton="0" quotePrefix="0" xfId="0"/>
    <xf numFmtId="165" fontId="4" fillId="4" borderId="1" pivotButton="0" quotePrefix="0" xfId="0"/>
    <xf numFmtId="2" fontId="4" fillId="4" borderId="1" pivotButton="0" quotePrefix="0" xfId="0"/>
    <xf numFmtId="46" fontId="4" fillId="4" borderId="1" pivotButton="0" quotePrefix="0" xfId="0"/>
    <xf numFmtId="45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168" fontId="4" fillId="4" borderId="1" pivotButton="0" quotePrefix="0" xfId="0"/>
    <xf numFmtId="169" fontId="4" fillId="4" borderId="1" pivotButton="0" quotePrefix="0" xfId="0"/>
    <xf numFmtId="0" fontId="4" fillId="4" borderId="1" applyAlignment="1" pivotButton="0" quotePrefix="0" xfId="0">
      <alignment vertical="top" wrapText="1"/>
    </xf>
    <xf numFmtId="0" fontId="5" fillId="5" borderId="1" pivotButton="0" quotePrefix="0" xfId="0"/>
    <xf numFmtId="2" fontId="5" fillId="5" borderId="1" pivotButton="0" quotePrefix="0" xfId="0"/>
    <xf numFmtId="46" fontId="5" fillId="5" borderId="1" pivotButton="0" quotePrefix="0" xfId="0"/>
    <xf numFmtId="0" fontId="5" fillId="0" borderId="1" pivotButton="0" quotePrefix="0" xfId="0"/>
    <xf numFmtId="1" fontId="4" fillId="0" borderId="1" pivotButton="0" quotePrefix="0" xfId="0"/>
    <xf numFmtId="1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45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3" fillId="5" borderId="0" pivotButton="0" quotePrefix="0" xfId="0"/>
    <xf numFmtId="0" fontId="0" fillId="5" borderId="0" pivotButton="0" quotePrefix="0" xfId="0"/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6" fontId="0" fillId="0" borderId="1" pivotButton="0" quotePrefix="0" xfId="0"/>
    <xf numFmtId="1" fontId="8" fillId="6" borderId="1" pivotButton="0" quotePrefix="0" xfId="0"/>
    <xf numFmtId="46" fontId="8" fillId="6" borderId="1" pivotButton="0" quotePrefix="0" xfId="0"/>
    <xf numFmtId="167" fontId="8" fillId="6" borderId="1" pivotButton="0" quotePrefix="0" xfId="0"/>
    <xf numFmtId="0" fontId="5" fillId="7" borderId="1" pivotButton="0" quotePrefix="0" xfId="0"/>
    <xf numFmtId="1" fontId="0" fillId="7" borderId="1" pivotButton="0" quotePrefix="0" xfId="0"/>
    <xf numFmtId="167" fontId="0" fillId="7" borderId="1" pivotButton="0" quotePrefix="0" xfId="0"/>
    <xf numFmtId="0" fontId="4" fillId="7" borderId="1" pivotButton="0" quotePrefix="0" xfId="0"/>
    <xf numFmtId="0" fontId="9" fillId="5" borderId="1" pivotButton="0" quotePrefix="0" xfId="0"/>
    <xf numFmtId="0" fontId="0" fillId="5" borderId="1" pivotButton="0" quotePrefix="0" xfId="0"/>
    <xf numFmtId="167" fontId="10" fillId="5" borderId="1" pivotButton="0" quotePrefix="0" xfId="0"/>
    <xf numFmtId="167" fontId="0" fillId="5" borderId="1" pivotButton="0" quotePrefix="0" xfId="0"/>
    <xf numFmtId="0" fontId="2" fillId="5" borderId="1" pivotButton="0" quotePrefix="0" xfId="0"/>
    <xf numFmtId="0" fontId="8" fillId="6" borderId="1" pivotButton="0" quotePrefix="0" xfId="0"/>
    <xf numFmtId="45" fontId="8" fillId="6" borderId="1" pivotButton="0" quotePrefix="0" xfId="0"/>
    <xf numFmtId="46" fontId="5" fillId="0" borderId="1" pivotButton="0" quotePrefix="0" xfId="0"/>
    <xf numFmtId="170" fontId="5" fillId="7" borderId="1" pivotButton="0" quotePrefix="0" xfId="0"/>
    <xf numFmtId="0" fontId="5" fillId="4" borderId="1" pivotButton="0" quotePrefix="0" xfId="0"/>
    <xf numFmtId="46" fontId="0" fillId="4" borderId="1" pivotButton="0" quotePrefix="0" xfId="0"/>
    <xf numFmtId="46" fontId="5" fillId="4" borderId="1" pivotButton="0" quotePrefix="0" xfId="0"/>
    <xf numFmtId="170" fontId="5" fillId="4" borderId="1" pivotButton="0" quotePrefix="0" xfId="0"/>
    <xf numFmtId="170" fontId="5" fillId="0" borderId="1" pivotButton="0" quotePrefix="0" xfId="0"/>
    <xf numFmtId="46" fontId="11" fillId="0" borderId="1" pivotButton="0" quotePrefix="0" xfId="0"/>
    <xf numFmtId="2" fontId="0" fillId="4" borderId="1" pivotButton="0" quotePrefix="0" xfId="0"/>
    <xf numFmtId="2" fontId="0" fillId="5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Analisis Lari &amp; Kesiapan GTR Ultra 30K</t>
        </is>
      </c>
    </row>
    <row r="2">
      <c r="A2" s="2" t="inlineStr">
        <is>
          <t>Harist - data 11 Juli s/d 14 September 2026 - disusun 17 September 2026</t>
        </is>
      </c>
    </row>
    <row r="4">
      <c r="A4" s="3" t="inlineStr">
        <is>
          <t>ISI WORKBOOK</t>
        </is>
      </c>
      <c r="B4" s="4" t="inlineStr"/>
    </row>
    <row r="5" ht="30" customHeight="1">
      <c r="A5" s="5" t="inlineStr">
        <is>
          <t>Komparatif</t>
        </is>
      </c>
      <c r="B5" s="4" t="inlineStr">
        <is>
          <t>Tabel master 18 aktivitas - semua metrik, satu baris per sesi. Semua tab lain menarik angka dari sini.</t>
        </is>
      </c>
    </row>
    <row r="6" ht="30" customHeight="1">
      <c r="A6" s="5" t="inlineStr">
        <is>
          <t>Tren Periode</t>
        </is>
      </c>
      <c r="B6" s="4" t="inlineStr">
        <is>
          <t>Perbandingan agregat Juli vs Agustus vs September. Menjawab: apa yang berubah antar bulan.</t>
        </is>
      </c>
    </row>
    <row r="7" ht="30" customHeight="1">
      <c r="A7" s="5" t="inlineStr">
        <is>
          <t>Analisis Performa</t>
        </is>
      </c>
      <c r="B7" s="4" t="inlineStr">
        <is>
          <t>Pendalaman: dekomposisi cadence x stride, efisiensi, progres per metrik, bentuk split.</t>
        </is>
      </c>
    </row>
    <row r="8" ht="30" customHeight="1">
      <c r="A8" s="5" t="inlineStr">
        <is>
          <t>Detail Lap</t>
        </is>
      </c>
      <c r="B8" s="4" t="inlineStr">
        <is>
          <t>Split per kilometer dari 8 sesi yang punya data lap.</t>
        </is>
      </c>
    </row>
    <row r="9" ht="30" customHeight="1">
      <c r="A9" s="5" t="inlineStr">
        <is>
          <t>Kesiapan GTR</t>
        </is>
      </c>
      <c r="B9" s="4" t="inlineStr">
        <is>
          <t>Skor kesiapan terhadap kebutuhan lomba, per dimensi, dengan bobot yang bisa diubah.</t>
        </is>
      </c>
    </row>
    <row r="10" ht="30" customHeight="1">
      <c r="A10" s="5" t="inlineStr">
        <is>
          <t>Proyeksi GTR</t>
        </is>
      </c>
      <c r="B10" s="4" t="inlineStr">
        <is>
          <t>Tiga skenario waktu finis dan rencana water station. Sel kuning bisa diubah.</t>
        </is>
      </c>
    </row>
    <row r="11">
      <c r="A11" s="5" t="inlineStr"/>
      <c r="B11" s="4" t="inlineStr"/>
    </row>
    <row r="12">
      <c r="A12" s="3" t="inlineStr">
        <is>
          <t>CARA BACA</t>
        </is>
      </c>
      <c r="B12" s="4" t="inlineStr"/>
    </row>
    <row r="13" ht="30" customHeight="1">
      <c r="A13" s="5" t="inlineStr">
        <is>
          <t>Sel kuning</t>
        </is>
      </c>
      <c r="B13" s="4" t="inlineStr">
        <is>
          <t>Input yang boleh diubah. Angka lain ikut menyesuaikan otomatis.</t>
        </is>
      </c>
    </row>
    <row r="14" ht="30" customHeight="1">
      <c r="A14" s="5" t="inlineStr">
        <is>
          <t>Teks biru</t>
        </is>
      </c>
      <c r="B14" s="4" t="inlineStr">
        <is>
          <t>Angka input atau asumsi, bukan hasil hitungan.</t>
        </is>
      </c>
    </row>
    <row r="15" ht="30" customHeight="1">
      <c r="A15" s="5" t="inlineStr">
        <is>
          <t>Teks hitam</t>
        </is>
      </c>
      <c r="B15" s="4" t="inlineStr">
        <is>
          <t>Hasil formula.</t>
        </is>
      </c>
    </row>
    <row r="16" ht="30" customHeight="1">
      <c r="A16" s="5" t="inlineStr">
        <is>
          <t>Sel kosong</t>
        </is>
      </c>
      <c r="B16" s="4" t="inlineStr">
        <is>
          <t>Alat tidak melaporkan metrik itu - bukan nol, tapi tidak ada data.</t>
        </is>
      </c>
    </row>
    <row r="17">
      <c r="A17" s="5" t="inlineStr"/>
      <c r="B17" s="4" t="inlineStr"/>
    </row>
    <row r="18">
      <c r="A18" s="3" t="inlineStr">
        <is>
          <t>PERINGATAN DATA</t>
        </is>
      </c>
      <c r="B18" s="4" t="inlineStr"/>
    </row>
    <row r="19" ht="30" customHeight="1">
      <c r="A19" s="5" t="inlineStr">
        <is>
          <t>Lintas alat</t>
        </is>
      </c>
      <c r="B19" s="4" t="inlineStr">
        <is>
          <t>Pace, jarak, HR, dan cadence sebanding antara Garmin dan COROS. GCT, Vertical Oscillation, Vertical Ratio, dan Power TIDAK sebanding - algoritma dan penempatan sensor berbeda (selisih 24-56 persen).</t>
        </is>
      </c>
    </row>
    <row r="20" ht="30" customHeight="1">
      <c r="A20" s="5" t="inlineStr">
        <is>
          <t>Stride</t>
        </is>
      </c>
      <c r="B20" s="4" t="inlineStr">
        <is>
          <t>Garmin melaporkan stride; COROS tidak. Kolom 'Stride hitung' adalah formula (jarak / waktu / cadence) yang berlaku untuk semua baris, jadi bisa dibandingkan lintas alat.</t>
        </is>
      </c>
    </row>
    <row r="21" ht="30" customHeight="1">
      <c r="A21" s="5" t="inlineStr">
        <is>
          <t>Best km</t>
        </is>
      </c>
      <c r="B21" s="4" t="inlineStr">
        <is>
          <t>Nilai 19 Jul (5:46/km) dan 28 Jul (4:18/km) adalah artefak GPS - tidak dipakai dalam analisis.</t>
        </is>
      </c>
    </row>
    <row r="22" ht="30" customHeight="1">
      <c r="A22" s="5" t="inlineStr">
        <is>
          <t>Treadmill</t>
        </is>
      </c>
      <c r="B22" s="4" t="inlineStr">
        <is>
          <t>Sesi 11 Juli tidak terkalibrasi: jarak, pace, stride, dan vertical ratio diragukan.</t>
        </is>
      </c>
    </row>
    <row r="23" ht="30" customHeight="1">
      <c r="A23" s="5" t="inlineStr">
        <is>
          <t>Dikecualikan</t>
        </is>
      </c>
      <c r="B23" s="4" t="inlineStr">
        <is>
          <t>Sesi 18 Agu (6,40 km), 26 Jul (long walk), 30 Agu (hiking), dan 11 Jul (treadmill) dikeluarkan dari rata-rata pace lari 5K.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7" customWidth="1" min="4" max="4"/>
    <col width="30" customWidth="1" min="5" max="5"/>
    <col width="10" customWidth="1" min="6" max="6"/>
    <col width="8" customWidth="1" min="7" max="7"/>
    <col width="9" customWidth="1" min="8" max="8"/>
    <col width="10" customWidth="1" min="9" max="9"/>
    <col width="9" customWidth="1" min="10" max="10"/>
    <col width="9" customWidth="1" min="11" max="11"/>
    <col width="10" customWidth="1" min="12" max="12"/>
    <col width="10" customWidth="1" min="13" max="13"/>
    <col width="8" customWidth="1" min="14" max="14"/>
    <col width="6" customWidth="1" min="15" max="15"/>
    <col width="7" customWidth="1" min="16" max="16"/>
    <col width="9" customWidth="1" min="17" max="17"/>
    <col width="9" customWidth="1" min="18" max="18"/>
    <col width="11" customWidth="1" min="19" max="19"/>
    <col width="12" customWidth="1" min="20" max="20"/>
    <col width="9" customWidth="1" min="21" max="21"/>
    <col width="10" customWidth="1" min="22" max="22"/>
    <col width="11" customWidth="1" min="23" max="23"/>
    <col width="9" customWidth="1" min="24" max="24"/>
    <col width="9" customWidth="1" min="25" max="25"/>
    <col width="8" customWidth="1" min="26" max="26"/>
    <col width="10" customWidth="1" min="27" max="27"/>
    <col width="10" customWidth="1" min="28" max="28"/>
    <col width="8" customWidth="1" min="29" max="29"/>
    <col width="11" customWidth="1" min="30" max="30"/>
    <col width="7" customWidth="1" min="31" max="31"/>
    <col width="9" customWidth="1" min="32" max="32"/>
    <col width="7" customWidth="1" min="33" max="33"/>
    <col width="10" customWidth="1" min="34" max="34"/>
    <col width="10" customWidth="1" min="35" max="35"/>
    <col width="11" customWidth="1" min="36" max="36"/>
    <col width="42" customWidth="1" min="37" max="37"/>
  </cols>
  <sheetData>
    <row r="1">
      <c r="A1" s="6" t="inlineStr">
        <is>
          <t>Tabel Komparatif - 18 Aktivitas</t>
        </is>
      </c>
    </row>
    <row r="2">
      <c r="A2" s="2" t="inlineStr">
        <is>
          <t>Satu baris per sesi. Sel kosong berarti alat tidak melaporkan metrik tersebut.</t>
        </is>
      </c>
    </row>
    <row r="4" ht="30" customHeight="1">
      <c r="A4" s="7" t="inlineStr">
        <is>
          <t>No</t>
        </is>
      </c>
      <c r="B4" s="7" t="inlineStr">
        <is>
          <t>Tanggal</t>
        </is>
      </c>
      <c r="C4" s="7" t="inlineStr">
        <is>
          <t>Bulan</t>
        </is>
      </c>
      <c r="D4" s="7" t="inlineStr">
        <is>
          <t>Jam</t>
        </is>
      </c>
      <c r="E4" s="7" t="inlineStr">
        <is>
          <t>Nama Aktivitas</t>
        </is>
      </c>
      <c r="F4" s="7" t="inlineStr">
        <is>
          <t>Tipe</t>
        </is>
      </c>
      <c r="G4" s="7" t="inlineStr">
        <is>
          <t>Alat</t>
        </is>
      </c>
      <c r="H4" s="7" t="inlineStr">
        <is>
          <t>Jarak (km)</t>
        </is>
      </c>
      <c r="I4" s="7" t="inlineStr">
        <is>
          <t>Waktu</t>
        </is>
      </c>
      <c r="J4" s="7" t="inlineStr">
        <is>
          <t>Pace /km</t>
        </is>
      </c>
      <c r="K4" s="7" t="inlineStr">
        <is>
          <t>Best km</t>
        </is>
      </c>
      <c r="L4" s="7" t="inlineStr">
        <is>
          <t>Waktu Lari</t>
        </is>
      </c>
      <c r="M4" s="7" t="inlineStr">
        <is>
          <t>Waktu Jalan</t>
        </is>
      </c>
      <c r="N4" s="7" t="inlineStr">
        <is>
          <t>% Jalan</t>
        </is>
      </c>
      <c r="O4" s="7" t="inlineStr">
        <is>
          <t>HR</t>
        </is>
      </c>
      <c r="P4" s="7" t="inlineStr">
        <is>
          <t>HR maks</t>
        </is>
      </c>
      <c r="Q4" s="7" t="inlineStr">
        <is>
          <t>Cadence</t>
        </is>
      </c>
      <c r="R4" s="7" t="inlineStr">
        <is>
          <t>Cad maks</t>
        </is>
      </c>
      <c r="S4" s="7" t="inlineStr">
        <is>
          <t>Stride lapor (m)</t>
        </is>
      </c>
      <c r="T4" s="7" t="inlineStr">
        <is>
          <t>Stride hitung (m)</t>
        </is>
      </c>
      <c r="U4" s="7" t="inlineStr">
        <is>
          <t>GCT (ms)</t>
        </is>
      </c>
      <c r="V4" s="7" t="inlineStr">
        <is>
          <t>Vert Osc (cm)</t>
        </is>
      </c>
      <c r="W4" s="7" t="inlineStr">
        <is>
          <t>Vert Ratio (%)</t>
        </is>
      </c>
      <c r="X4" s="7" t="inlineStr">
        <is>
          <t>Power (W)</t>
        </is>
      </c>
      <c r="Y4" s="7" t="inlineStr">
        <is>
          <t>Aerobic TE</t>
        </is>
      </c>
      <c r="Z4" s="7" t="inlineStr">
        <is>
          <t>Suhu (C)</t>
        </is>
      </c>
      <c r="AA4" s="7" t="inlineStr">
        <is>
          <t>Elev + (m)</t>
        </is>
      </c>
      <c r="AB4" s="7" t="inlineStr">
        <is>
          <t>Elev - (m)</t>
        </is>
      </c>
      <c r="AC4" s="7" t="inlineStr">
        <is>
          <t>Kalori</t>
        </is>
      </c>
      <c r="AD4" s="7" t="inlineStr">
        <is>
          <t>Keringat (ml)</t>
        </is>
      </c>
      <c r="AE4" s="7" t="inlineStr">
        <is>
          <t>Load</t>
        </is>
      </c>
      <c r="AF4" s="7" t="inlineStr">
        <is>
          <t>Body Batt</t>
        </is>
      </c>
      <c r="AG4" s="7" t="inlineStr">
        <is>
          <t>RPE</t>
        </is>
      </c>
      <c r="AH4" s="7" t="inlineStr">
        <is>
          <t>Efisiensi</t>
        </is>
      </c>
      <c r="AI4" s="7" t="inlineStr">
        <is>
          <t>Jarak Road</t>
        </is>
      </c>
      <c r="AJ4" s="7" t="inlineStr">
        <is>
          <t>Waktu Total</t>
        </is>
      </c>
      <c r="AK4" s="7" t="inlineStr">
        <is>
          <t>Catatan</t>
        </is>
      </c>
    </row>
    <row r="5">
      <c r="A5" s="8" t="n">
        <v>1</v>
      </c>
      <c r="B5" s="9" t="n">
        <v>46214</v>
      </c>
      <c r="C5" s="8" t="inlineStr">
        <is>
          <t>Jul</t>
        </is>
      </c>
      <c r="D5" s="8" t="inlineStr">
        <is>
          <t>-</t>
        </is>
      </c>
      <c r="E5" s="8" t="inlineStr">
        <is>
          <t>Treadmill Run</t>
        </is>
      </c>
      <c r="F5" s="8" t="inlineStr">
        <is>
          <t>Treadmill</t>
        </is>
      </c>
      <c r="G5" s="8" t="inlineStr">
        <is>
          <t>Garmin</t>
        </is>
      </c>
      <c r="H5" s="10" t="n">
        <v>2.99</v>
      </c>
      <c r="I5" s="11" t="n">
        <v>0.01659722222222222</v>
      </c>
      <c r="J5" s="12" t="n">
        <v>0.005532407407407408</v>
      </c>
      <c r="K5" s="12" t="n"/>
      <c r="L5" s="13" t="n">
        <v>0.01128472222222222</v>
      </c>
      <c r="M5" s="13" t="n">
        <v>0.0015625</v>
      </c>
      <c r="N5" s="14">
        <f>IF(OR(L5="",M5=""),"",M5/(L5+M5))</f>
        <v/>
      </c>
      <c r="O5" s="8" t="n">
        <v>137</v>
      </c>
      <c r="P5" s="8" t="n">
        <v>160</v>
      </c>
      <c r="Q5" s="8" t="n">
        <v>114</v>
      </c>
      <c r="R5" s="8" t="n">
        <v>180</v>
      </c>
      <c r="S5" s="15" t="n">
        <v>1.13</v>
      </c>
      <c r="T5" s="15">
        <f>IF(OR(Q5="",I5=""),"",ROUND(H5*1000/(I5*1440)/Q5,3))</f>
        <v/>
      </c>
      <c r="U5" s="8" t="n">
        <v>292</v>
      </c>
      <c r="V5" s="16" t="n">
        <v>9.800000000000001</v>
      </c>
      <c r="W5" s="16" t="n">
        <v>8.699999999999999</v>
      </c>
      <c r="X5" s="8" t="n">
        <v>218</v>
      </c>
      <c r="Y5" s="16" t="n">
        <v>2.5</v>
      </c>
      <c r="Z5" s="16" t="n">
        <v>26.4</v>
      </c>
      <c r="AA5" s="8" t="n">
        <v>0</v>
      </c>
      <c r="AB5" s="8" t="n">
        <v>0</v>
      </c>
      <c r="AC5" s="8" t="n">
        <v>188</v>
      </c>
      <c r="AD5" s="8" t="n">
        <v>311</v>
      </c>
      <c r="AE5" s="8" t="n"/>
      <c r="AF5" s="8" t="n">
        <v>-8</v>
      </c>
      <c r="AG5" s="8" t="inlineStr">
        <is>
          <t>1/10</t>
        </is>
      </c>
      <c r="AH5" s="15">
        <f>IF(OR(O5="",I5=""),"",ROUND(H5*1000/(I5*1440)/O5,3))</f>
        <v/>
      </c>
      <c r="AI5" s="10">
        <f>IF(F5="Road",H5,"")</f>
        <v/>
      </c>
      <c r="AJ5" s="11" t="n">
        <v>0.01659722222222222</v>
      </c>
      <c r="AK5" s="17" t="inlineStr">
        <is>
          <t>Kalibrasi treadmill tidak terverifikasi</t>
        </is>
      </c>
    </row>
    <row r="6">
      <c r="A6" s="18" t="n">
        <v>2</v>
      </c>
      <c r="B6" s="19" t="n">
        <v>46222</v>
      </c>
      <c r="C6" s="18" t="inlineStr">
        <is>
          <t>Jul</t>
        </is>
      </c>
      <c r="D6" s="18" t="inlineStr">
        <is>
          <t>-</t>
        </is>
      </c>
      <c r="E6" s="18" t="inlineStr">
        <is>
          <t>Jakarta Run</t>
        </is>
      </c>
      <c r="F6" s="18" t="inlineStr">
        <is>
          <t>Road</t>
        </is>
      </c>
      <c r="G6" s="18" t="inlineStr">
        <is>
          <t>Garmin</t>
        </is>
      </c>
      <c r="H6" s="20" t="n">
        <v>4.65</v>
      </c>
      <c r="I6" s="21" t="n">
        <v>0.03811342592592593</v>
      </c>
      <c r="J6" s="22" t="n">
        <v>0.008194444444444445</v>
      </c>
      <c r="K6" s="22" t="n">
        <v>0.00400462962962963</v>
      </c>
      <c r="L6" s="23" t="n">
        <v>0.01543981481481481</v>
      </c>
      <c r="M6" s="23" t="n">
        <v>0.02259259259259259</v>
      </c>
      <c r="N6" s="24">
        <f>IF(OR(L6="",M6=""),"",M6/(L6+M6))</f>
        <v/>
      </c>
      <c r="O6" s="18" t="n">
        <v>135</v>
      </c>
      <c r="P6" s="18" t="n">
        <v>165</v>
      </c>
      <c r="Q6" s="18" t="n">
        <v>127</v>
      </c>
      <c r="R6" s="18" t="n">
        <v>163</v>
      </c>
      <c r="S6" s="25" t="n">
        <v>0.6899999999999999</v>
      </c>
      <c r="T6" s="25">
        <f>IF(OR(Q6="",I6=""),"",ROUND(H6*1000/(I6*1440)/Q6,3))</f>
        <v/>
      </c>
      <c r="U6" s="18" t="n">
        <v>319</v>
      </c>
      <c r="V6" s="26" t="n">
        <v>6.5</v>
      </c>
      <c r="W6" s="26" t="n">
        <v>10.5</v>
      </c>
      <c r="X6" s="18" t="n">
        <v>136</v>
      </c>
      <c r="Y6" s="26" t="n">
        <v>2.2</v>
      </c>
      <c r="Z6" s="26" t="n">
        <v>31.6</v>
      </c>
      <c r="AA6" s="18" t="n">
        <v>9</v>
      </c>
      <c r="AB6" s="18" t="n">
        <v>1</v>
      </c>
      <c r="AC6" s="18" t="n">
        <v>317</v>
      </c>
      <c r="AD6" s="18" t="n">
        <v>596</v>
      </c>
      <c r="AE6" s="18" t="n"/>
      <c r="AF6" s="18" t="n">
        <v>-8</v>
      </c>
      <c r="AG6" s="18" t="inlineStr">
        <is>
          <t>1/10</t>
        </is>
      </c>
      <c r="AH6" s="25">
        <f>IF(OR(O6="",I6=""),"",ROUND(H6*1000/(I6*1440)/O6,3))</f>
        <v/>
      </c>
      <c r="AI6" s="20">
        <f>IF(F6="Road",H6,"")</f>
        <v/>
      </c>
      <c r="AJ6" s="21" t="n">
        <v>0.03811342592592593</v>
      </c>
      <c r="AK6" s="27" t="inlineStr">
        <is>
          <t>Best km artefak GPS</t>
        </is>
      </c>
    </row>
    <row r="7">
      <c r="A7" s="8" t="n">
        <v>3</v>
      </c>
      <c r="B7" s="9" t="n">
        <v>46224</v>
      </c>
      <c r="C7" s="8" t="inlineStr">
        <is>
          <t>Jul</t>
        </is>
      </c>
      <c r="D7" s="8" t="inlineStr">
        <is>
          <t>-</t>
        </is>
      </c>
      <c r="E7" s="8" t="inlineStr">
        <is>
          <t>Jakarta Run</t>
        </is>
      </c>
      <c r="F7" s="8" t="inlineStr">
        <is>
          <t>Road</t>
        </is>
      </c>
      <c r="G7" s="8" t="inlineStr">
        <is>
          <t>Garmin</t>
        </is>
      </c>
      <c r="H7" s="10" t="n">
        <v>5.18</v>
      </c>
      <c r="I7" s="11" t="n">
        <v>0.04494212962962963</v>
      </c>
      <c r="J7" s="12" t="n">
        <v>0.008657407407407407</v>
      </c>
      <c r="K7" s="12" t="n">
        <v>0.005416666666666667</v>
      </c>
      <c r="L7" s="13" t="n">
        <v>0.01099537037037037</v>
      </c>
      <c r="M7" s="13" t="n">
        <v>0.0337962962962963</v>
      </c>
      <c r="N7" s="14">
        <f>IF(OR(L7="",M7=""),"",M7/(L7+M7))</f>
        <v/>
      </c>
      <c r="O7" s="8" t="n">
        <v>132</v>
      </c>
      <c r="P7" s="8" t="n">
        <v>162</v>
      </c>
      <c r="Q7" s="8" t="n">
        <v>123</v>
      </c>
      <c r="R7" s="8" t="n">
        <v>163</v>
      </c>
      <c r="S7" s="15" t="n">
        <v>0.68</v>
      </c>
      <c r="T7" s="15">
        <f>IF(OR(Q7="",I7=""),"",ROUND(H7*1000/(I7*1440)/Q7,3))</f>
        <v/>
      </c>
      <c r="U7" s="8" t="n">
        <v>310</v>
      </c>
      <c r="V7" s="16" t="n">
        <v>6.2</v>
      </c>
      <c r="W7" s="16" t="n">
        <v>9.9</v>
      </c>
      <c r="X7" s="8" t="n">
        <v>123</v>
      </c>
      <c r="Y7" s="16" t="n">
        <v>2</v>
      </c>
      <c r="Z7" s="16" t="n">
        <v>31.3</v>
      </c>
      <c r="AA7" s="8" t="n">
        <v>0</v>
      </c>
      <c r="AB7" s="8" t="n">
        <v>5</v>
      </c>
      <c r="AC7" s="8" t="n">
        <v>343</v>
      </c>
      <c r="AD7" s="8" t="n">
        <v>645</v>
      </c>
      <c r="AE7" s="8" t="n"/>
      <c r="AF7" s="8" t="n">
        <v>-6</v>
      </c>
      <c r="AG7" s="8" t="inlineStr">
        <is>
          <t>7/10</t>
        </is>
      </c>
      <c r="AH7" s="15">
        <f>IF(OR(O7="",I7=""),"",ROUND(H7*1000/(I7*1440)/O7,3))</f>
        <v/>
      </c>
      <c r="AI7" s="10">
        <f>IF(F7="Road",H7,"")</f>
        <v/>
      </c>
      <c r="AJ7" s="11" t="n">
        <v>0.05019675925925926</v>
      </c>
      <c r="AK7" s="17" t="inlineStr">
        <is>
          <t>Titik terendah - RPE 7/10</t>
        </is>
      </c>
    </row>
    <row r="8">
      <c r="A8" s="18" t="n">
        <v>4</v>
      </c>
      <c r="B8" s="19" t="n">
        <v>46229</v>
      </c>
      <c r="C8" s="18" t="inlineStr">
        <is>
          <t>Jul</t>
        </is>
      </c>
      <c r="D8" s="18" t="inlineStr">
        <is>
          <t>-</t>
        </is>
      </c>
      <c r="E8" s="18" t="inlineStr">
        <is>
          <t>Long Walk</t>
        </is>
      </c>
      <c r="F8" s="18" t="inlineStr">
        <is>
          <t>Hiking</t>
        </is>
      </c>
      <c r="G8" s="18" t="inlineStr">
        <is>
          <t>Garmin</t>
        </is>
      </c>
      <c r="H8" s="20" t="n">
        <v>7.74</v>
      </c>
      <c r="I8" s="21" t="n">
        <v>0.07510416666666667</v>
      </c>
      <c r="J8" s="22" t="n">
        <v>0.009699074074074074</v>
      </c>
      <c r="K8" s="22" t="n">
        <v>0.005046296296296296</v>
      </c>
      <c r="L8" s="23" t="n">
        <v>0.01563657407407407</v>
      </c>
      <c r="M8" s="23" t="n">
        <v>0.05728009259259259</v>
      </c>
      <c r="N8" s="24">
        <f>IF(OR(L8="",M8=""),"",M8/(L8+M8))</f>
        <v/>
      </c>
      <c r="O8" s="18" t="n">
        <v>126</v>
      </c>
      <c r="P8" s="18" t="n">
        <v>162</v>
      </c>
      <c r="Q8" s="18" t="n">
        <v>109</v>
      </c>
      <c r="R8" s="18" t="n">
        <v>165</v>
      </c>
      <c r="S8" s="25" t="n">
        <v>0.6899999999999999</v>
      </c>
      <c r="T8" s="25">
        <f>IF(OR(Q8="",I8=""),"",ROUND(H8*1000/(I8*1440)/Q8,3))</f>
        <v/>
      </c>
      <c r="U8" s="18" t="n">
        <v>320</v>
      </c>
      <c r="V8" s="26" t="n">
        <v>6.1</v>
      </c>
      <c r="W8" s="26" t="n">
        <v>10.3</v>
      </c>
      <c r="X8" s="18" t="n">
        <v>106</v>
      </c>
      <c r="Y8" s="26" t="n">
        <v>2.1</v>
      </c>
      <c r="Z8" s="26" t="n">
        <v>30</v>
      </c>
      <c r="AA8" s="18" t="n">
        <v>23</v>
      </c>
      <c r="AB8" s="18" t="n">
        <v>34</v>
      </c>
      <c r="AC8" s="18" t="n">
        <v>516</v>
      </c>
      <c r="AD8" s="18" t="n">
        <v>930</v>
      </c>
      <c r="AE8" s="18" t="n"/>
      <c r="AF8" s="18" t="n">
        <v>-9</v>
      </c>
      <c r="AG8" s="18" t="inlineStr">
        <is>
          <t>1/10</t>
        </is>
      </c>
      <c r="AH8" s="25">
        <f>IF(OR(O8="",I8=""),"",ROUND(H8*1000/(I8*1440)/O8,3))</f>
        <v/>
      </c>
      <c r="AI8" s="20">
        <f>IF(F8="Road",H8,"")</f>
        <v/>
      </c>
      <c r="AJ8" s="21" t="n">
        <v>0.09597222222222222</v>
      </c>
      <c r="AK8" s="27" t="inlineStr">
        <is>
          <t>Jalan jauh, bukan sesi lari</t>
        </is>
      </c>
    </row>
    <row r="9">
      <c r="A9" s="8" t="n">
        <v>5</v>
      </c>
      <c r="B9" s="9" t="n">
        <v>46231</v>
      </c>
      <c r="C9" s="8" t="inlineStr">
        <is>
          <t>Jul</t>
        </is>
      </c>
      <c r="D9" s="8" t="inlineStr">
        <is>
          <t>-</t>
        </is>
      </c>
      <c r="E9" s="8" t="inlineStr">
        <is>
          <t>Jakarta Run</t>
        </is>
      </c>
      <c r="F9" s="8" t="inlineStr">
        <is>
          <t>Road</t>
        </is>
      </c>
      <c r="G9" s="8" t="inlineStr">
        <is>
          <t>Garmin</t>
        </is>
      </c>
      <c r="H9" s="10" t="n">
        <v>5.13</v>
      </c>
      <c r="I9" s="11" t="n">
        <v>0.04171296296296297</v>
      </c>
      <c r="J9" s="12" t="n">
        <v>0.008125</v>
      </c>
      <c r="K9" s="12" t="n">
        <v>0.002986111111111111</v>
      </c>
      <c r="L9" s="13" t="n">
        <v>0.01634259259259259</v>
      </c>
      <c r="M9" s="13" t="n">
        <v>0.0252662037037037</v>
      </c>
      <c r="N9" s="14">
        <f>IF(OR(L9="",M9=""),"",M9/(L9+M9))</f>
        <v/>
      </c>
      <c r="O9" s="8" t="n">
        <v>131</v>
      </c>
      <c r="P9" s="8" t="n">
        <v>159</v>
      </c>
      <c r="Q9" s="8" t="n">
        <v>126</v>
      </c>
      <c r="R9" s="8" t="n">
        <v>170</v>
      </c>
      <c r="S9" s="15" t="n">
        <v>0.71</v>
      </c>
      <c r="T9" s="15">
        <f>IF(OR(Q9="",I9=""),"",ROUND(H9*1000/(I9*1440)/Q9,3))</f>
        <v/>
      </c>
      <c r="U9" s="8" t="n">
        <v>304</v>
      </c>
      <c r="V9" s="16" t="n">
        <v>6.5</v>
      </c>
      <c r="W9" s="16" t="n">
        <v>10.2</v>
      </c>
      <c r="X9" s="8" t="n">
        <v>137</v>
      </c>
      <c r="Y9" s="16" t="n">
        <v>2.1</v>
      </c>
      <c r="Z9" s="16" t="n">
        <v>29.9</v>
      </c>
      <c r="AA9" s="8" t="n">
        <v>2</v>
      </c>
      <c r="AB9" s="8" t="n">
        <v>6</v>
      </c>
      <c r="AC9" s="8" t="n">
        <v>337</v>
      </c>
      <c r="AD9" s="8" t="n">
        <v>657</v>
      </c>
      <c r="AE9" s="8" t="n"/>
      <c r="AF9" s="8" t="n">
        <v>-3</v>
      </c>
      <c r="AG9" s="8" t="inlineStr">
        <is>
          <t>1/10</t>
        </is>
      </c>
      <c r="AH9" s="15">
        <f>IF(OR(O9="",I9=""),"",ROUND(H9*1000/(I9*1440)/O9,3))</f>
        <v/>
      </c>
      <c r="AI9" s="10">
        <f>IF(F9="Road",H9,"")</f>
        <v/>
      </c>
      <c r="AJ9" s="11" t="n">
        <v>0.04466435185185185</v>
      </c>
      <c r="AK9" s="17" t="inlineStr">
        <is>
          <t>Best km artefak GPS</t>
        </is>
      </c>
    </row>
    <row r="10">
      <c r="A10" s="18" t="n">
        <v>6</v>
      </c>
      <c r="B10" s="19" t="n">
        <v>46238</v>
      </c>
      <c r="C10" s="18" t="inlineStr">
        <is>
          <t>Agu</t>
        </is>
      </c>
      <c r="D10" s="18" t="inlineStr">
        <is>
          <t>-</t>
        </is>
      </c>
      <c r="E10" s="18" t="inlineStr">
        <is>
          <t>Jakarta Run</t>
        </is>
      </c>
      <c r="F10" s="18" t="inlineStr">
        <is>
          <t>Road</t>
        </is>
      </c>
      <c r="G10" s="18" t="inlineStr">
        <is>
          <t>Garmin</t>
        </is>
      </c>
      <c r="H10" s="20" t="n">
        <v>5.02</v>
      </c>
      <c r="I10" s="21" t="n">
        <v>0.033125</v>
      </c>
      <c r="J10" s="22" t="n">
        <v>0.006608796296296297</v>
      </c>
      <c r="K10" s="22" t="n">
        <v>0.004629629629629629</v>
      </c>
      <c r="L10" s="23" t="n">
        <v>0.02163194444444444</v>
      </c>
      <c r="M10" s="23" t="n">
        <v>0.01149305555555555</v>
      </c>
      <c r="N10" s="24">
        <f>IF(OR(L10="",M10=""),"",M10/(L10+M10))</f>
        <v/>
      </c>
      <c r="O10" s="18" t="n">
        <v>150</v>
      </c>
      <c r="P10" s="18" t="n">
        <v>166</v>
      </c>
      <c r="Q10" s="18" t="n">
        <v>144</v>
      </c>
      <c r="R10" s="18" t="n">
        <v>183</v>
      </c>
      <c r="S10" s="25" t="n">
        <v>0.71</v>
      </c>
      <c r="T10" s="25">
        <f>IF(OR(Q10="",I10=""),"",ROUND(H10*1000/(I10*1440)/Q10,3))</f>
        <v/>
      </c>
      <c r="U10" s="18" t="n">
        <v>304</v>
      </c>
      <c r="V10" s="26" t="n">
        <v>7</v>
      </c>
      <c r="W10" s="26" t="n">
        <v>9.9</v>
      </c>
      <c r="X10" s="18" t="n">
        <v>177</v>
      </c>
      <c r="Y10" s="26" t="n">
        <v>2.5</v>
      </c>
      <c r="Z10" s="26" t="n">
        <v>30</v>
      </c>
      <c r="AA10" s="18" t="n">
        <v>14</v>
      </c>
      <c r="AB10" s="18" t="n">
        <v>6</v>
      </c>
      <c r="AC10" s="18" t="n">
        <v>358</v>
      </c>
      <c r="AD10" s="18" t="n">
        <v>674</v>
      </c>
      <c r="AE10" s="18" t="n"/>
      <c r="AF10" s="18" t="n">
        <v>-7</v>
      </c>
      <c r="AG10" s="18" t="inlineStr"/>
      <c r="AH10" s="25">
        <f>IF(OR(O10="",I10=""),"",ROUND(H10*1000/(I10*1440)/O10,3))</f>
        <v/>
      </c>
      <c r="AI10" s="20">
        <f>IF(F10="Road",H10,"")</f>
        <v/>
      </c>
      <c r="AJ10" s="21" t="n">
        <v>0.03398148148148148</v>
      </c>
      <c r="AK10" s="27" t="inlineStr">
        <is>
          <t>Lompatan besar dari Juli</t>
        </is>
      </c>
    </row>
    <row r="11">
      <c r="A11" s="8" t="n">
        <v>7</v>
      </c>
      <c r="B11" s="9" t="n">
        <v>46240</v>
      </c>
      <c r="C11" s="8" t="inlineStr">
        <is>
          <t>Agu</t>
        </is>
      </c>
      <c r="D11" s="8" t="inlineStr">
        <is>
          <t>-</t>
        </is>
      </c>
      <c r="E11" s="8" t="inlineStr">
        <is>
          <t>Jakarta Run</t>
        </is>
      </c>
      <c r="F11" s="8" t="inlineStr">
        <is>
          <t>Road</t>
        </is>
      </c>
      <c r="G11" s="8" t="inlineStr">
        <is>
          <t>Garmin</t>
        </is>
      </c>
      <c r="H11" s="10" t="n">
        <v>5.02</v>
      </c>
      <c r="I11" s="11" t="n">
        <v>0.03380787037037037</v>
      </c>
      <c r="J11" s="12" t="n">
        <v>0.006736111111111111</v>
      </c>
      <c r="K11" s="12" t="n">
        <v>0.004560185185185185</v>
      </c>
      <c r="L11" s="13" t="n">
        <v>0.02144675925925926</v>
      </c>
      <c r="M11" s="13" t="n">
        <v>0.01236111111111111</v>
      </c>
      <c r="N11" s="14">
        <f>IF(OR(L11="",M11=""),"",M11/(L11+M11))</f>
        <v/>
      </c>
      <c r="O11" s="8" t="n">
        <v>150</v>
      </c>
      <c r="P11" s="8" t="n">
        <v>168</v>
      </c>
      <c r="Q11" s="8" t="n">
        <v>142</v>
      </c>
      <c r="R11" s="8" t="n">
        <v>174</v>
      </c>
      <c r="S11" s="15" t="n">
        <v>0.72</v>
      </c>
      <c r="T11" s="15">
        <f>IF(OR(Q11="",I11=""),"",ROUND(H11*1000/(I11*1440)/Q11,3))</f>
        <v/>
      </c>
      <c r="U11" s="8" t="n">
        <v>297</v>
      </c>
      <c r="V11" s="16" t="n">
        <v>7</v>
      </c>
      <c r="W11" s="16" t="n">
        <v>10</v>
      </c>
      <c r="X11" s="8" t="n">
        <v>173</v>
      </c>
      <c r="Y11" s="16" t="n">
        <v>2.5</v>
      </c>
      <c r="Z11" s="16" t="n">
        <v>31.7</v>
      </c>
      <c r="AA11" s="8" t="n">
        <v>4</v>
      </c>
      <c r="AB11" s="8" t="n">
        <v>6</v>
      </c>
      <c r="AC11" s="8" t="n">
        <v>354</v>
      </c>
      <c r="AD11" s="8" t="n">
        <v>674</v>
      </c>
      <c r="AE11" s="8" t="n"/>
      <c r="AF11" s="8" t="n">
        <v>-7</v>
      </c>
      <c r="AG11" s="8" t="inlineStr"/>
      <c r="AH11" s="15">
        <f>IF(OR(O11="",I11=""),"",ROUND(H11*1000/(I11*1440)/O11,3))</f>
        <v/>
      </c>
      <c r="AI11" s="10">
        <f>IF(F11="Road",H11,"")</f>
        <v/>
      </c>
      <c r="AJ11" s="11" t="n">
        <v>0.03380787037037037</v>
      </c>
      <c r="AK11" s="17" t="inlineStr">
        <is>
          <t>Positive split, sebaran 67 dtk</t>
        </is>
      </c>
    </row>
    <row r="12">
      <c r="A12" s="18" t="n">
        <v>8</v>
      </c>
      <c r="B12" s="19" t="n">
        <v>46245</v>
      </c>
      <c r="C12" s="18" t="inlineStr">
        <is>
          <t>Agu</t>
        </is>
      </c>
      <c r="D12" s="18" t="inlineStr">
        <is>
          <t>-</t>
        </is>
      </c>
      <c r="E12" s="18" t="inlineStr">
        <is>
          <t>Jakarta Run</t>
        </is>
      </c>
      <c r="F12" s="18" t="inlineStr">
        <is>
          <t>Road</t>
        </is>
      </c>
      <c r="G12" s="18" t="inlineStr">
        <is>
          <t>Garmin</t>
        </is>
      </c>
      <c r="H12" s="20" t="n">
        <v>5.02</v>
      </c>
      <c r="I12" s="21" t="n">
        <v>0.03359953703703704</v>
      </c>
      <c r="J12" s="22" t="n">
        <v>0.006689814814814815</v>
      </c>
      <c r="K12" s="22" t="n">
        <v>0.004525462962962963</v>
      </c>
      <c r="L12" s="23" t="n">
        <v>0.02734953703703704</v>
      </c>
      <c r="M12" s="23" t="n">
        <v>0.00625</v>
      </c>
      <c r="N12" s="24">
        <f>IF(OR(L12="",M12=""),"",M12/(L12+M12))</f>
        <v/>
      </c>
      <c r="O12" s="18" t="n">
        <v>153</v>
      </c>
      <c r="P12" s="18" t="n">
        <v>169</v>
      </c>
      <c r="Q12" s="18" t="n">
        <v>143</v>
      </c>
      <c r="R12" s="18" t="n">
        <v>171</v>
      </c>
      <c r="S12" s="25" t="n">
        <v>0.72</v>
      </c>
      <c r="T12" s="25">
        <f>IF(OR(Q12="",I12=""),"",ROUND(H12*1000/(I12*1440)/Q12,3))</f>
        <v/>
      </c>
      <c r="U12" s="18" t="n">
        <v>305</v>
      </c>
      <c r="V12" s="26" t="n">
        <v>7.4</v>
      </c>
      <c r="W12" s="26" t="n">
        <v>10.7</v>
      </c>
      <c r="X12" s="18" t="n">
        <v>180</v>
      </c>
      <c r="Y12" s="26" t="n">
        <v>2.4</v>
      </c>
      <c r="Z12" s="26" t="n">
        <v>31.1</v>
      </c>
      <c r="AA12" s="18" t="n">
        <v>5</v>
      </c>
      <c r="AB12" s="18" t="n">
        <v>7</v>
      </c>
      <c r="AC12" s="18" t="n">
        <v>351</v>
      </c>
      <c r="AD12" s="18" t="n">
        <v>696</v>
      </c>
      <c r="AE12" s="18" t="n"/>
      <c r="AF12" s="18" t="n">
        <v>-6</v>
      </c>
      <c r="AG12" s="18" t="inlineStr"/>
      <c r="AH12" s="25">
        <f>IF(OR(O12="",I12=""),"",ROUND(H12*1000/(I12*1440)/O12,3))</f>
        <v/>
      </c>
      <c r="AI12" s="20">
        <f>IF(F12="Road",H12,"")</f>
        <v/>
      </c>
      <c r="AJ12" s="21" t="n">
        <v>0.03359953703703704</v>
      </c>
      <c r="AK12" s="27" t="inlineStr">
        <is>
          <t>Walk time tembus di bawah 10 mnt</t>
        </is>
      </c>
    </row>
    <row r="13">
      <c r="A13" s="8" t="n">
        <v>9</v>
      </c>
      <c r="B13" s="9" t="n">
        <v>46247</v>
      </c>
      <c r="C13" s="8" t="inlineStr">
        <is>
          <t>Agu</t>
        </is>
      </c>
      <c r="D13" s="8" t="inlineStr">
        <is>
          <t>-</t>
        </is>
      </c>
      <c r="E13" s="8" t="inlineStr">
        <is>
          <t>Jakarta Run</t>
        </is>
      </c>
      <c r="F13" s="8" t="inlineStr">
        <is>
          <t>Road</t>
        </is>
      </c>
      <c r="G13" s="8" t="inlineStr">
        <is>
          <t>Garmin</t>
        </is>
      </c>
      <c r="H13" s="10" t="n">
        <v>5.01</v>
      </c>
      <c r="I13" s="11" t="n">
        <v>0.03306712962962963</v>
      </c>
      <c r="J13" s="12" t="n">
        <v>0.006597222222222222</v>
      </c>
      <c r="K13" s="12" t="n">
        <v>0.004560185185185185</v>
      </c>
      <c r="L13" s="13" t="n">
        <v>0.0272337962962963</v>
      </c>
      <c r="M13" s="13" t="n">
        <v>0.005798611111111111</v>
      </c>
      <c r="N13" s="14">
        <f>IF(OR(L13="",M13=""),"",M13/(L13+M13))</f>
        <v/>
      </c>
      <c r="O13" s="8" t="n">
        <v>154</v>
      </c>
      <c r="P13" s="8" t="n">
        <v>168</v>
      </c>
      <c r="Q13" s="8" t="n">
        <v>140</v>
      </c>
      <c r="R13" s="8" t="n">
        <v>171</v>
      </c>
      <c r="S13" s="15" t="n">
        <v>0.74</v>
      </c>
      <c r="T13" s="15">
        <f>IF(OR(Q13="",I13=""),"",ROUND(H13*1000/(I13*1440)/Q13,3))</f>
        <v/>
      </c>
      <c r="U13" s="8" t="n">
        <v>299</v>
      </c>
      <c r="V13" s="16" t="n">
        <v>7.6</v>
      </c>
      <c r="W13" s="16" t="n">
        <v>10.7</v>
      </c>
      <c r="X13" s="8" t="n">
        <v>183</v>
      </c>
      <c r="Y13" s="16" t="n">
        <v>2.7</v>
      </c>
      <c r="Z13" s="16" t="n">
        <v>31.1</v>
      </c>
      <c r="AA13" s="8" t="n">
        <v>4</v>
      </c>
      <c r="AB13" s="8" t="n">
        <v>4</v>
      </c>
      <c r="AC13" s="8" t="n">
        <v>357</v>
      </c>
      <c r="AD13" s="8" t="n">
        <v>691</v>
      </c>
      <c r="AE13" s="8" t="n"/>
      <c r="AF13" s="8" t="n">
        <v>-3</v>
      </c>
      <c r="AG13" s="8" t="inlineStr"/>
      <c r="AH13" s="15">
        <f>IF(OR(O13="",I13=""),"",ROUND(H13*1000/(I13*1440)/O13,3))</f>
        <v/>
      </c>
      <c r="AI13" s="10">
        <f>IF(F13="Road",H13,"")</f>
        <v/>
      </c>
      <c r="AJ13" s="11" t="n">
        <v>0.03306712962962963</v>
      </c>
      <c r="AK13" s="17" t="inlineStr">
        <is>
          <t>Stride tertinggi era Garmin</t>
        </is>
      </c>
    </row>
    <row r="14">
      <c r="A14" s="18" t="n">
        <v>10</v>
      </c>
      <c r="B14" s="19" t="n">
        <v>46252</v>
      </c>
      <c r="C14" s="18" t="inlineStr">
        <is>
          <t>Agu</t>
        </is>
      </c>
      <c r="D14" s="18" t="inlineStr">
        <is>
          <t>-</t>
        </is>
      </c>
      <c r="E14" s="18" t="inlineStr">
        <is>
          <t>Jakarta Long Run</t>
        </is>
      </c>
      <c r="F14" s="18" t="inlineStr">
        <is>
          <t>Road</t>
        </is>
      </c>
      <c r="G14" s="18" t="inlineStr">
        <is>
          <t>Garmin</t>
        </is>
      </c>
      <c r="H14" s="20" t="n">
        <v>6.4</v>
      </c>
      <c r="I14" s="21" t="n">
        <v>0.05021990740740741</v>
      </c>
      <c r="J14" s="22" t="n">
        <v>0.007847222222222222</v>
      </c>
      <c r="K14" s="22" t="n">
        <v>0.004861111111111111</v>
      </c>
      <c r="L14" s="23" t="n">
        <v>0.02704861111111111</v>
      </c>
      <c r="M14" s="23" t="n">
        <v>0.02302083333333333</v>
      </c>
      <c r="N14" s="24">
        <f>IF(OR(L14="",M14=""),"",M14/(L14+M14))</f>
        <v/>
      </c>
      <c r="O14" s="18" t="n">
        <v>133</v>
      </c>
      <c r="P14" s="18" t="n">
        <v>162</v>
      </c>
      <c r="Q14" s="18" t="n">
        <v>129</v>
      </c>
      <c r="R14" s="18" t="n">
        <v>176</v>
      </c>
      <c r="S14" s="25" t="n">
        <v>0.6899999999999999</v>
      </c>
      <c r="T14" s="25">
        <f>IF(OR(Q14="",I14=""),"",ROUND(H14*1000/(I14*1440)/Q14,3))</f>
        <v/>
      </c>
      <c r="U14" s="18" t="n">
        <v>309</v>
      </c>
      <c r="V14" s="26" t="n">
        <v>6.7</v>
      </c>
      <c r="W14" s="26" t="n">
        <v>10.7</v>
      </c>
      <c r="X14" s="18" t="n">
        <v>146</v>
      </c>
      <c r="Y14" s="26" t="n">
        <v>2.3</v>
      </c>
      <c r="Z14" s="26" t="n">
        <v>31.6</v>
      </c>
      <c r="AA14" s="18" t="n">
        <v>7</v>
      </c>
      <c r="AB14" s="18" t="n">
        <v>11</v>
      </c>
      <c r="AC14" s="18" t="n">
        <v>425</v>
      </c>
      <c r="AD14" s="18" t="n">
        <v>915</v>
      </c>
      <c r="AE14" s="18" t="n"/>
      <c r="AF14" s="18" t="n">
        <v>-7</v>
      </c>
      <c r="AG14" s="18" t="inlineStr">
        <is>
          <t>1/10</t>
        </is>
      </c>
      <c r="AH14" s="25">
        <f>IF(OR(O14="",I14=""),"",ROUND(H14*1000/(I14*1440)/O14,3))</f>
        <v/>
      </c>
      <c r="AI14" s="20">
        <f>IF(F14="Road",H14,"")</f>
        <v/>
      </c>
      <c r="AJ14" s="21" t="n">
        <v>0.05702546296296297</v>
      </c>
      <c r="AK14" s="27" t="inlineStr">
        <is>
          <t>Rute 6,4 km - pace tidak sebanding</t>
        </is>
      </c>
    </row>
    <row r="15">
      <c r="A15" s="8" t="n">
        <v>11</v>
      </c>
      <c r="B15" s="9" t="n">
        <v>46254</v>
      </c>
      <c r="C15" s="8" t="inlineStr">
        <is>
          <t>Agu</t>
        </is>
      </c>
      <c r="D15" s="8" t="inlineStr">
        <is>
          <t>-</t>
        </is>
      </c>
      <c r="E15" s="8" t="inlineStr">
        <is>
          <t>Jakarta Run</t>
        </is>
      </c>
      <c r="F15" s="8" t="inlineStr">
        <is>
          <t>Road</t>
        </is>
      </c>
      <c r="G15" s="8" t="inlineStr">
        <is>
          <t>Garmin</t>
        </is>
      </c>
      <c r="H15" s="10" t="n">
        <v>5.02</v>
      </c>
      <c r="I15" s="11" t="n">
        <v>0.03159722222222222</v>
      </c>
      <c r="J15" s="12" t="n">
        <v>0.006296296296296296</v>
      </c>
      <c r="K15" s="12" t="n">
        <v>0.004560185185185185</v>
      </c>
      <c r="L15" s="13" t="n">
        <v>0.02681712962962963</v>
      </c>
      <c r="M15" s="13" t="n">
        <v>0.004699074074074074</v>
      </c>
      <c r="N15" s="14">
        <f>IF(OR(L15="",M15=""),"",M15/(L15+M15))</f>
        <v/>
      </c>
      <c r="O15" s="8" t="n">
        <v>157</v>
      </c>
      <c r="P15" s="8" t="n">
        <v>168</v>
      </c>
      <c r="Q15" s="8" t="n">
        <v>157</v>
      </c>
      <c r="R15" s="8" t="n">
        <v>187</v>
      </c>
      <c r="S15" s="15" t="n">
        <v>0.6899999999999999</v>
      </c>
      <c r="T15" s="15">
        <f>IF(OR(Q15="",I15=""),"",ROUND(H15*1000/(I15*1440)/Q15,3))</f>
        <v/>
      </c>
      <c r="U15" s="8" t="n">
        <v>286</v>
      </c>
      <c r="V15" s="16" t="n">
        <v>7.1</v>
      </c>
      <c r="W15" s="16" t="n">
        <v>10.4</v>
      </c>
      <c r="X15" s="8" t="n">
        <v>192</v>
      </c>
      <c r="Y15" s="16" t="n">
        <v>2.6</v>
      </c>
      <c r="Z15" s="16" t="n">
        <v>31.4</v>
      </c>
      <c r="AA15" s="8" t="n">
        <v>2</v>
      </c>
      <c r="AB15" s="8" t="n">
        <v>4</v>
      </c>
      <c r="AC15" s="8" t="n">
        <v>346</v>
      </c>
      <c r="AD15" s="8" t="n">
        <v>720</v>
      </c>
      <c r="AE15" s="8" t="n"/>
      <c r="AF15" s="8" t="n">
        <v>-5</v>
      </c>
      <c r="AG15" s="8" t="inlineStr">
        <is>
          <t>3/10</t>
        </is>
      </c>
      <c r="AH15" s="15">
        <f>IF(OR(O15="",I15=""),"",ROUND(H15*1000/(I15*1440)/O15,3))</f>
        <v/>
      </c>
      <c r="AI15" s="10">
        <f>IF(F15="Road",H15,"")</f>
        <v/>
      </c>
      <c r="AJ15" s="11" t="n">
        <v>0.03159722222222222</v>
      </c>
      <c r="AK15" s="17" t="inlineStr">
        <is>
          <t>Cadence lompat 140-157, stride jatuh</t>
        </is>
      </c>
    </row>
    <row r="16">
      <c r="A16" s="18" t="n">
        <v>12</v>
      </c>
      <c r="B16" s="19" t="n">
        <v>46260</v>
      </c>
      <c r="C16" s="18" t="inlineStr">
        <is>
          <t>Agu</t>
        </is>
      </c>
      <c r="D16" s="18" t="inlineStr">
        <is>
          <t>05:18</t>
        </is>
      </c>
      <c r="E16" s="18" t="inlineStr">
        <is>
          <t>West Jakarta Run</t>
        </is>
      </c>
      <c r="F16" s="18" t="inlineStr">
        <is>
          <t>Road</t>
        </is>
      </c>
      <c r="G16" s="18" t="inlineStr">
        <is>
          <t>COROS</t>
        </is>
      </c>
      <c r="H16" s="20" t="n">
        <v>5.02</v>
      </c>
      <c r="I16" s="21" t="n">
        <v>0.03042824074074074</v>
      </c>
      <c r="J16" s="22" t="n">
        <v>0.006064814814814815</v>
      </c>
      <c r="K16" s="22" t="n">
        <v>0.00542824074074074</v>
      </c>
      <c r="L16" s="23" t="n"/>
      <c r="M16" s="23" t="n"/>
      <c r="N16" s="24">
        <f>IF(OR(L16="",M16=""),"",M16/(L16+M16))</f>
        <v/>
      </c>
      <c r="O16" s="18" t="n">
        <v>153</v>
      </c>
      <c r="P16" s="18" t="n"/>
      <c r="Q16" s="18" t="n">
        <v>162</v>
      </c>
      <c r="R16" s="18" t="n">
        <v>179</v>
      </c>
      <c r="S16" s="25" t="n"/>
      <c r="T16" s="25">
        <f>IF(OR(Q16="",I16=""),"",ROUND(H16*1000/(I16*1440)/Q16,3))</f>
        <v/>
      </c>
      <c r="U16" s="18" t="n"/>
      <c r="V16" s="26" t="n"/>
      <c r="W16" s="26" t="n"/>
      <c r="X16" s="18" t="n">
        <v>85</v>
      </c>
      <c r="Y16" s="26" t="n">
        <v>3</v>
      </c>
      <c r="Z16" s="26" t="n">
        <v>26</v>
      </c>
      <c r="AA16" s="18" t="n">
        <v>2</v>
      </c>
      <c r="AB16" s="18" t="n">
        <v>7</v>
      </c>
      <c r="AC16" s="18" t="n">
        <v>286</v>
      </c>
      <c r="AD16" s="18" t="n"/>
      <c r="AE16" s="18" t="n">
        <v>94</v>
      </c>
      <c r="AF16" s="18" t="n"/>
      <c r="AG16" s="18" t="inlineStr"/>
      <c r="AH16" s="25">
        <f>IF(OR(O16="",I16=""),"",ROUND(H16*1000/(I16*1440)/O16,3))</f>
        <v/>
      </c>
      <c r="AI16" s="20">
        <f>IF(F16="Road",H16,"")</f>
        <v/>
      </c>
      <c r="AJ16" s="21" t="n">
        <v>0.03042824074074074</v>
      </c>
      <c r="AK16" s="27" t="inlineStr">
        <is>
          <t>Satu-satunya sesi di bawah 29 C. Negative split</t>
        </is>
      </c>
    </row>
    <row r="17">
      <c r="A17" s="8" t="n">
        <v>13</v>
      </c>
      <c r="B17" s="9" t="n">
        <v>46264</v>
      </c>
      <c r="C17" s="8" t="inlineStr">
        <is>
          <t>Agu</t>
        </is>
      </c>
      <c r="D17" s="8" t="inlineStr">
        <is>
          <t>10:49</t>
        </is>
      </c>
      <c r="E17" s="8" t="inlineStr">
        <is>
          <t>Wonosobo Regency Trail</t>
        </is>
      </c>
      <c r="F17" s="8" t="inlineStr">
        <is>
          <t>Hiking</t>
        </is>
      </c>
      <c r="G17" s="8" t="inlineStr">
        <is>
          <t>COROS</t>
        </is>
      </c>
      <c r="H17" s="10" t="n">
        <v>8.130000000000001</v>
      </c>
      <c r="I17" s="11" t="n">
        <v>0.199537037037037</v>
      </c>
      <c r="J17" s="12" t="n">
        <v>0.02454861111111111</v>
      </c>
      <c r="K17" s="12" t="n">
        <v>0.01094907407407407</v>
      </c>
      <c r="L17" s="13" t="n"/>
      <c r="M17" s="13" t="n"/>
      <c r="N17" s="14">
        <f>IF(OR(L17="",M17=""),"",M17/(L17+M17))</f>
        <v/>
      </c>
      <c r="O17" s="8" t="n">
        <v>117</v>
      </c>
      <c r="P17" s="8" t="n"/>
      <c r="Q17" s="8" t="n">
        <v>67</v>
      </c>
      <c r="R17" s="8" t="n"/>
      <c r="S17" s="15" t="n"/>
      <c r="T17" s="15">
        <f>IF(OR(Q17="",I17=""),"",ROUND(H17*1000/(I17*1440)/Q17,3))</f>
        <v/>
      </c>
      <c r="U17" s="8" t="n"/>
      <c r="V17" s="16" t="n"/>
      <c r="W17" s="16" t="n"/>
      <c r="X17" s="8" t="n">
        <v>45</v>
      </c>
      <c r="Y17" s="16" t="n">
        <v>2.8</v>
      </c>
      <c r="Z17" s="16" t="n"/>
      <c r="AA17" s="8" t="n">
        <v>516</v>
      </c>
      <c r="AB17" s="8" t="n">
        <v>681</v>
      </c>
      <c r="AC17" s="8" t="n">
        <v>1954</v>
      </c>
      <c r="AD17" s="8" t="n"/>
      <c r="AE17" s="8" t="n">
        <v>98</v>
      </c>
      <c r="AF17" s="8" t="n"/>
      <c r="AG17" s="8" t="inlineStr"/>
      <c r="AH17" s="15">
        <f>IF(OR(O17="",I17=""),"",ROUND(H17*1000/(I17*1440)/O17,3))</f>
        <v/>
      </c>
      <c r="AI17" s="10">
        <f>IF(F17="Road",H17,"")</f>
        <v/>
      </c>
      <c r="AJ17" s="11" t="n">
        <v>0.2678703703703704</v>
      </c>
      <c r="AK17" s="17" t="inlineStr">
        <is>
          <t>Turunan 681 m - pemicu DOMS 1 Sep</t>
        </is>
      </c>
    </row>
    <row r="18">
      <c r="A18" s="18" t="n">
        <v>14</v>
      </c>
      <c r="B18" s="19" t="n">
        <v>46266</v>
      </c>
      <c r="C18" s="18" t="inlineStr">
        <is>
          <t>Sep</t>
        </is>
      </c>
      <c r="D18" s="18" t="inlineStr">
        <is>
          <t>19:30</t>
        </is>
      </c>
      <c r="E18" s="18" t="inlineStr">
        <is>
          <t>Central Jakarta Run</t>
        </is>
      </c>
      <c r="F18" s="18" t="inlineStr">
        <is>
          <t>Road</t>
        </is>
      </c>
      <c r="G18" s="18" t="inlineStr">
        <is>
          <t>COROS</t>
        </is>
      </c>
      <c r="H18" s="20" t="n">
        <v>5.01</v>
      </c>
      <c r="I18" s="21" t="n">
        <v>0.03202546296296296</v>
      </c>
      <c r="J18" s="22" t="n">
        <v>0.006388888888888889</v>
      </c>
      <c r="K18" s="22" t="n">
        <v>0.005439814814814815</v>
      </c>
      <c r="L18" s="23" t="n"/>
      <c r="M18" s="23" t="n"/>
      <c r="N18" s="24">
        <f>IF(OR(L18="",M18=""),"",M18/(L18+M18))</f>
        <v/>
      </c>
      <c r="O18" s="18" t="n">
        <v>149</v>
      </c>
      <c r="P18" s="18" t="n"/>
      <c r="Q18" s="18" t="n">
        <v>152</v>
      </c>
      <c r="R18" s="18" t="n"/>
      <c r="S18" s="25" t="n"/>
      <c r="T18" s="25">
        <f>IF(OR(Q18="",I18=""),"",ROUND(H18*1000/(I18*1440)/Q18,3))</f>
        <v/>
      </c>
      <c r="U18" s="18" t="n"/>
      <c r="V18" s="26" t="n"/>
      <c r="W18" s="26" t="n"/>
      <c r="X18" s="18" t="n">
        <v>142</v>
      </c>
      <c r="Y18" s="26" t="n">
        <v>2.9</v>
      </c>
      <c r="Z18" s="26" t="n"/>
      <c r="AA18" s="18" t="n">
        <v>3</v>
      </c>
      <c r="AB18" s="18" t="n">
        <v>4</v>
      </c>
      <c r="AC18" s="18" t="n">
        <v>492</v>
      </c>
      <c r="AD18" s="18" t="n"/>
      <c r="AE18" s="18" t="n">
        <v>88</v>
      </c>
      <c r="AF18" s="18" t="n"/>
      <c r="AG18" s="18" t="inlineStr"/>
      <c r="AH18" s="25">
        <f>IF(OR(O18="",I18=""),"",ROUND(H18*1000/(I18*1440)/O18,3))</f>
        <v/>
      </c>
      <c r="AI18" s="20">
        <f>IF(F18="Road",H18,"")</f>
        <v/>
      </c>
      <c r="AJ18" s="21" t="n">
        <v>0.05142361111111111</v>
      </c>
      <c r="AK18" s="27" t="inlineStr">
        <is>
          <t>Kolaps DOMS 48 jam pasca Wonosobo</t>
        </is>
      </c>
    </row>
    <row r="19">
      <c r="A19" s="8" t="n">
        <v>15</v>
      </c>
      <c r="B19" s="9" t="n">
        <v>46268</v>
      </c>
      <c r="C19" s="8" t="inlineStr">
        <is>
          <t>Sep</t>
        </is>
      </c>
      <c r="D19" s="8" t="inlineStr">
        <is>
          <t>20:24</t>
        </is>
      </c>
      <c r="E19" s="8" t="inlineStr">
        <is>
          <t>Jakarta Run</t>
        </is>
      </c>
      <c r="F19" s="8" t="inlineStr">
        <is>
          <t>Road</t>
        </is>
      </c>
      <c r="G19" s="8" t="inlineStr">
        <is>
          <t>COROS</t>
        </is>
      </c>
      <c r="H19" s="10" t="n">
        <v>5.03</v>
      </c>
      <c r="I19" s="11" t="n">
        <v>0.02965277777777778</v>
      </c>
      <c r="J19" s="12" t="n">
        <v>0.005891203703703704</v>
      </c>
      <c r="K19" s="12" t="n">
        <v>0.005497685185185185</v>
      </c>
      <c r="L19" s="13" t="n"/>
      <c r="M19" s="13" t="n"/>
      <c r="N19" s="14">
        <f>IF(OR(L19="",M19=""),"",M19/(L19+M19))</f>
        <v/>
      </c>
      <c r="O19" s="8" t="n">
        <v>157</v>
      </c>
      <c r="P19" s="8" t="n"/>
      <c r="Q19" s="8" t="n">
        <v>168</v>
      </c>
      <c r="R19" s="8" t="n">
        <v>173</v>
      </c>
      <c r="S19" s="15" t="n"/>
      <c r="T19" s="15">
        <f>IF(OR(Q19="",I19=""),"",ROUND(H19*1000/(I19*1440)/Q19,3))</f>
        <v/>
      </c>
      <c r="U19" s="8" t="n"/>
      <c r="V19" s="16" t="n"/>
      <c r="W19" s="16" t="n"/>
      <c r="X19" s="8" t="n">
        <v>150</v>
      </c>
      <c r="Y19" s="16" t="n">
        <v>3.2</v>
      </c>
      <c r="Z19" s="16" t="n"/>
      <c r="AA19" s="8" t="n">
        <v>6</v>
      </c>
      <c r="AB19" s="8" t="n">
        <v>5</v>
      </c>
      <c r="AC19" s="8" t="n">
        <v>495</v>
      </c>
      <c r="AD19" s="8" t="n"/>
      <c r="AE19" s="8" t="n">
        <v>108</v>
      </c>
      <c r="AF19" s="8" t="n"/>
      <c r="AG19" s="8" t="inlineStr"/>
      <c r="AH19" s="15">
        <f>IF(OR(O19="",I19=""),"",ROUND(H19*1000/(I19*1440)/O19,3))</f>
        <v/>
      </c>
      <c r="AI19" s="10">
        <f>IF(F19="Road",H19,"")</f>
        <v/>
      </c>
      <c r="AJ19" s="11" t="n">
        <v>0.02965277777777778</v>
      </c>
      <c r="AK19" s="17" t="inlineStr">
        <is>
          <t>PR sebelumnya. Negative split</t>
        </is>
      </c>
    </row>
    <row r="20">
      <c r="A20" s="18" t="n">
        <v>16</v>
      </c>
      <c r="B20" s="19" t="n">
        <v>46271</v>
      </c>
      <c r="C20" s="18" t="inlineStr">
        <is>
          <t>Sep</t>
        </is>
      </c>
      <c r="D20" s="18" t="inlineStr">
        <is>
          <t>17:06</t>
        </is>
      </c>
      <c r="E20" s="18" t="inlineStr">
        <is>
          <t>Jakarta Run</t>
        </is>
      </c>
      <c r="F20" s="18" t="inlineStr">
        <is>
          <t>Road</t>
        </is>
      </c>
      <c r="G20" s="18" t="inlineStr">
        <is>
          <t>COROS</t>
        </is>
      </c>
      <c r="H20" s="20" t="n">
        <v>5.03</v>
      </c>
      <c r="I20" s="21" t="n">
        <v>0.02997685185185185</v>
      </c>
      <c r="J20" s="22" t="n">
        <v>0.005960648148148148</v>
      </c>
      <c r="K20" s="22" t="n">
        <v>0.005578703703703704</v>
      </c>
      <c r="L20" s="23" t="n"/>
      <c r="M20" s="23" t="n"/>
      <c r="N20" s="24">
        <f>IF(OR(L20="",M20=""),"",M20/(L20+M20))</f>
        <v/>
      </c>
      <c r="O20" s="18" t="n">
        <v>159</v>
      </c>
      <c r="P20" s="18" t="n"/>
      <c r="Q20" s="18" t="n">
        <v>167</v>
      </c>
      <c r="R20" s="18" t="n">
        <v>170</v>
      </c>
      <c r="S20" s="25" t="n"/>
      <c r="T20" s="25">
        <f>IF(OR(Q20="",I20=""),"",ROUND(H20*1000/(I20*1440)/Q20,3))</f>
        <v/>
      </c>
      <c r="U20" s="18" t="n"/>
      <c r="V20" s="26" t="n"/>
      <c r="W20" s="26" t="n"/>
      <c r="X20" s="18" t="n">
        <v>150</v>
      </c>
      <c r="Y20" s="26" t="n">
        <v>3.3</v>
      </c>
      <c r="Z20" s="26" t="n"/>
      <c r="AA20" s="18" t="n">
        <v>0</v>
      </c>
      <c r="AB20" s="18" t="n">
        <v>3</v>
      </c>
      <c r="AC20" s="18" t="n">
        <v>422</v>
      </c>
      <c r="AD20" s="18" t="n"/>
      <c r="AE20" s="18" t="n">
        <v>115</v>
      </c>
      <c r="AF20" s="18" t="n"/>
      <c r="AG20" s="18" t="inlineStr"/>
      <c r="AH20" s="25">
        <f>IF(OR(O20="",I20=""),"",ROUND(H20*1000/(I20*1440)/O20,3))</f>
        <v/>
      </c>
      <c r="AI20" s="20">
        <f>IF(F20="Road",H20,"")</f>
        <v/>
      </c>
      <c r="AJ20" s="21" t="n">
        <v>0.02997685185185185</v>
      </c>
      <c r="AK20" s="27" t="inlineStr">
        <is>
          <t>Lebih lambat + HR naik = decoupling</t>
        </is>
      </c>
    </row>
    <row r="21">
      <c r="A21" s="8" t="n">
        <v>17</v>
      </c>
      <c r="B21" s="9" t="n">
        <v>46275</v>
      </c>
      <c r="C21" s="8" t="inlineStr">
        <is>
          <t>Sep</t>
        </is>
      </c>
      <c r="D21" s="8" t="inlineStr">
        <is>
          <t>19:03</t>
        </is>
      </c>
      <c r="E21" s="8" t="inlineStr">
        <is>
          <t>Jakarta Special Capital Region Run</t>
        </is>
      </c>
      <c r="F21" s="8" t="inlineStr">
        <is>
          <t>Road</t>
        </is>
      </c>
      <c r="G21" s="8" t="inlineStr">
        <is>
          <t>COROS</t>
        </is>
      </c>
      <c r="H21" s="10" t="n">
        <v>5.02</v>
      </c>
      <c r="I21" s="11" t="n">
        <v>0.03015810185185185</v>
      </c>
      <c r="J21" s="12" t="n">
        <v>0.006006944444444444</v>
      </c>
      <c r="K21" s="12" t="n">
        <v>0.005694444444444445</v>
      </c>
      <c r="L21" s="13" t="n"/>
      <c r="M21" s="13" t="n"/>
      <c r="N21" s="14">
        <f>IF(OR(L21="",M21=""),"",M21/(L21+M21))</f>
        <v/>
      </c>
      <c r="O21" s="8" t="n">
        <v>159</v>
      </c>
      <c r="P21" s="8" t="n"/>
      <c r="Q21" s="8" t="n">
        <v>161</v>
      </c>
      <c r="R21" s="8" t="n"/>
      <c r="S21" s="15" t="n"/>
      <c r="T21" s="15">
        <f>IF(OR(Q21="",I21=""),"",ROUND(H21*1000/(I21*1440)/Q21,3))</f>
        <v/>
      </c>
      <c r="U21" s="8" t="n"/>
      <c r="V21" s="16" t="n"/>
      <c r="W21" s="16" t="n"/>
      <c r="X21" s="8" t="n">
        <v>148</v>
      </c>
      <c r="Y21" s="16" t="n">
        <v>3.3</v>
      </c>
      <c r="Z21" s="16" t="n"/>
      <c r="AA21" s="8" t="n">
        <v>7</v>
      </c>
      <c r="AB21" s="8" t="n">
        <v>3</v>
      </c>
      <c r="AC21" s="8" t="n">
        <v>426</v>
      </c>
      <c r="AD21" s="8" t="n"/>
      <c r="AE21" s="8" t="n">
        <v>117</v>
      </c>
      <c r="AF21" s="8" t="n"/>
      <c r="AG21" s="8" t="inlineStr"/>
      <c r="AH21" s="15">
        <f>IF(OR(O21="",I21=""),"",ROUND(H21*1000/(I21*1440)/O21,3))</f>
        <v/>
      </c>
      <c r="AI21" s="10">
        <f>IF(F21="Road",H21,"")</f>
        <v/>
      </c>
      <c r="AJ21" s="11" t="n">
        <v>0.03015810185185185</v>
      </c>
      <c r="AK21" s="17" t="inlineStr">
        <is>
          <t>Base. Pace rata, HR tinggi merata</t>
        </is>
      </c>
    </row>
    <row r="22">
      <c r="A22" s="28" t="n">
        <v>18</v>
      </c>
      <c r="B22" s="29" t="n">
        <v>46279</v>
      </c>
      <c r="C22" s="28" t="inlineStr">
        <is>
          <t>Sep</t>
        </is>
      </c>
      <c r="D22" s="28" t="inlineStr">
        <is>
          <t>20:01</t>
        </is>
      </c>
      <c r="E22" s="28" t="inlineStr">
        <is>
          <t>Jakarta Run</t>
        </is>
      </c>
      <c r="F22" s="28" t="inlineStr">
        <is>
          <t>Road</t>
        </is>
      </c>
      <c r="G22" s="28" t="inlineStr">
        <is>
          <t>COROS</t>
        </is>
      </c>
      <c r="H22" s="30" t="n">
        <v>5.01</v>
      </c>
      <c r="I22" s="31" t="n">
        <v>0.02779780092592593</v>
      </c>
      <c r="J22" s="32" t="n">
        <v>0.005555555555555556</v>
      </c>
      <c r="K22" s="32" t="n">
        <v>0.005</v>
      </c>
      <c r="L22" s="33" t="n"/>
      <c r="M22" s="33" t="n"/>
      <c r="N22" s="34">
        <f>IF(OR(L22="",M22=""),"",M22/(L22+M22))</f>
        <v/>
      </c>
      <c r="O22" s="28" t="n">
        <v>157</v>
      </c>
      <c r="P22" s="28" t="n"/>
      <c r="Q22" s="28" t="n">
        <v>167</v>
      </c>
      <c r="R22" s="28" t="n"/>
      <c r="S22" s="35" t="n"/>
      <c r="T22" s="35">
        <f>IF(OR(Q22="",I22=""),"",ROUND(H22*1000/(I22*1440)/Q22,3))</f>
        <v/>
      </c>
      <c r="U22" s="28" t="n"/>
      <c r="V22" s="36" t="n"/>
      <c r="W22" s="36" t="n"/>
      <c r="X22" s="28" t="n">
        <v>158</v>
      </c>
      <c r="Y22" s="36" t="n">
        <v>3.1</v>
      </c>
      <c r="Z22" s="36" t="n"/>
      <c r="AA22" s="28" t="n">
        <v>8</v>
      </c>
      <c r="AB22" s="28" t="n">
        <v>10</v>
      </c>
      <c r="AC22" s="28" t="n">
        <v>386</v>
      </c>
      <c r="AD22" s="28" t="n"/>
      <c r="AE22" s="28" t="n">
        <v>104</v>
      </c>
      <c r="AF22" s="28" t="n"/>
      <c r="AG22" s="28" t="inlineStr"/>
      <c r="AH22" s="35">
        <f>IF(OR(O22="",I22=""),"",ROUND(H22*1000/(I22*1440)/O22,3))</f>
        <v/>
      </c>
      <c r="AI22" s="30">
        <f>IF(F22="Road",H22,"")</f>
        <v/>
      </c>
      <c r="AJ22" s="31" t="n">
        <v>0.02779780092592593</v>
      </c>
      <c r="AK22" s="37" t="inlineStr">
        <is>
          <t>PR BARU. Tempo. Efficiency 103%</t>
        </is>
      </c>
    </row>
    <row r="23">
      <c r="E23" s="38" t="inlineStr">
        <is>
          <t>TOTAL / RATA-RATA</t>
        </is>
      </c>
      <c r="H23" s="39">
        <f>SUM(H5:H22)</f>
        <v/>
      </c>
      <c r="I23" s="40">
        <f>SUM(I5:I22)</f>
        <v/>
      </c>
      <c r="AC23" s="38">
        <f>SUM(AC5:AC22)</f>
        <v/>
      </c>
    </row>
  </sheetData>
  <autoFilter ref="A4:AK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Tren Antar Periode</t>
        </is>
      </c>
    </row>
    <row r="2">
      <c r="A2" s="2" t="inlineStr">
        <is>
          <t>Hanya sesi Road (lari jalanan) yang dihitung. Hiking, long walk, dan treadmill dikecualikan.</t>
        </is>
      </c>
    </row>
    <row r="4" ht="30" customHeight="1">
      <c r="A4" s="7" t="inlineStr">
        <is>
          <t>Metrik</t>
        </is>
      </c>
      <c r="B4" s="7" t="inlineStr">
        <is>
          <t>Juli</t>
        </is>
      </c>
      <c r="C4" s="7" t="inlineStr">
        <is>
          <t>Agustus</t>
        </is>
      </c>
      <c r="D4" s="7" t="inlineStr">
        <is>
          <t>September</t>
        </is>
      </c>
      <c r="E4" s="7" t="inlineStr">
        <is>
          <t>Jul ke Sep</t>
        </is>
      </c>
      <c r="F4" s="7" t="inlineStr">
        <is>
          <t>Perubahan</t>
        </is>
      </c>
    </row>
    <row r="5">
      <c r="A5" s="41" t="inlineStr">
        <is>
          <t>Jumlah sesi lari</t>
        </is>
      </c>
      <c r="B5" s="42">
        <f>COUNTIFS(Komparatif!$C$5:$C$22,"Jul",Komparatif!$F$5:$F$22,"Road")</f>
        <v/>
      </c>
      <c r="C5" s="42">
        <f>COUNTIFS(Komparatif!$C$5:$C$22,"Agu",Komparatif!$F$5:$F$22,"Road")</f>
        <v/>
      </c>
      <c r="D5" s="42">
        <f>COUNTIFS(Komparatif!$C$5:$C$22,"Sep",Komparatif!$F$5:$F$22,"Road")</f>
        <v/>
      </c>
      <c r="E5" s="43">
        <f>IF(OR(B5="",D5=""),"",D5-B5)</f>
        <v/>
      </c>
      <c r="F5" s="44">
        <f>IF(OR(B5="",B5=0,D5=""),"",D5/B5-1)</f>
        <v/>
      </c>
    </row>
    <row r="6">
      <c r="A6" s="41" t="inlineStr">
        <is>
          <t>Jarak total (km)</t>
        </is>
      </c>
      <c r="B6" s="10">
        <f>SUMIFS(Komparatif!H5:H22,Komparatif!$C$5:$C$22,"Jul",Komparatif!$F$5:$F$22,"Road")</f>
        <v/>
      </c>
      <c r="C6" s="10">
        <f>SUMIFS(Komparatif!H5:H22,Komparatif!$C$5:$C$22,"Agu",Komparatif!$F$5:$F$22,"Road")</f>
        <v/>
      </c>
      <c r="D6" s="10">
        <f>SUMIFS(Komparatif!H5:H22,Komparatif!$C$5:$C$22,"Sep",Komparatif!$F$5:$F$22,"Road")</f>
        <v/>
      </c>
      <c r="E6" s="45">
        <f>IF(OR(B6="",D6=""),"",D6-B6)</f>
        <v/>
      </c>
      <c r="F6" s="44">
        <f>IF(OR(B6="",B6=0,D6=""),"",D6/B6-1)</f>
        <v/>
      </c>
    </row>
    <row r="7">
      <c r="A7" s="41" t="inlineStr">
        <is>
          <t>Pace rata-rata /km</t>
        </is>
      </c>
      <c r="B7" s="12">
        <f>IFERROR(AVERAGEIFS(Komparatif!J5:J22,Komparatif!$C$5:$C$22,"Jul",Komparatif!$F$5:$F$22,"Road"),"")</f>
        <v/>
      </c>
      <c r="C7" s="12">
        <f>IFERROR(AVERAGEIFS(Komparatif!J5:J22,Komparatif!$C$5:$C$22,"Agu",Komparatif!$F$5:$F$22,"Road"),"")</f>
        <v/>
      </c>
      <c r="D7" s="12">
        <f>IFERROR(AVERAGEIFS(Komparatif!J5:J22,Komparatif!$C$5:$C$22,"Sep",Komparatif!$F$5:$F$22,"Road"),"")</f>
        <v/>
      </c>
      <c r="E7" s="46">
        <f>IF(OR(B7="",D7=""),"",D7-B7)</f>
        <v/>
      </c>
      <c r="F7" s="44">
        <f>IF(OR(B7="",B7=0,D7=""),"",D7/B7-1)</f>
        <v/>
      </c>
    </row>
    <row r="8">
      <c r="A8" s="41" t="inlineStr">
        <is>
          <t>Best km rata-rata</t>
        </is>
      </c>
      <c r="B8" s="12">
        <f>IFERROR(AVERAGEIFS(Komparatif!K5:K22,Komparatif!$C$5:$C$22,"Jul",Komparatif!$F$5:$F$22,"Road"),"")</f>
        <v/>
      </c>
      <c r="C8" s="12">
        <f>IFERROR(AVERAGEIFS(Komparatif!K5:K22,Komparatif!$C$5:$C$22,"Agu",Komparatif!$F$5:$F$22,"Road"),"")</f>
        <v/>
      </c>
      <c r="D8" s="12">
        <f>IFERROR(AVERAGEIFS(Komparatif!K5:K22,Komparatif!$C$5:$C$22,"Sep",Komparatif!$F$5:$F$22,"Road"),"")</f>
        <v/>
      </c>
      <c r="E8" s="46">
        <f>IF(OR(B8="",D8=""),"",D8-B8)</f>
        <v/>
      </c>
      <c r="F8" s="44">
        <f>IF(OR(B8="",B8=0,D8=""),"",D8/B8-1)</f>
        <v/>
      </c>
    </row>
    <row r="9">
      <c r="A9" s="41" t="inlineStr">
        <is>
          <t>HR rata-rata (bpm)</t>
        </is>
      </c>
      <c r="B9" s="42">
        <f>IFERROR(AVERAGEIFS(Komparatif!O5:O22,Komparatif!$C$5:$C$22,"Jul",Komparatif!$F$5:$F$22,"Road"),"")</f>
        <v/>
      </c>
      <c r="C9" s="42">
        <f>IFERROR(AVERAGEIFS(Komparatif!O5:O22,Komparatif!$C$5:$C$22,"Agu",Komparatif!$F$5:$F$22,"Road"),"")</f>
        <v/>
      </c>
      <c r="D9" s="42">
        <f>IFERROR(AVERAGEIFS(Komparatif!O5:O22,Komparatif!$C$5:$C$22,"Sep",Komparatif!$F$5:$F$22,"Road"),"")</f>
        <v/>
      </c>
      <c r="E9" s="43">
        <f>IF(OR(B9="",D9=""),"",D9-B9)</f>
        <v/>
      </c>
      <c r="F9" s="44">
        <f>IF(OR(B9="",B9=0,D9=""),"",D9/B9-1)</f>
        <v/>
      </c>
    </row>
    <row r="10">
      <c r="A10" s="41" t="inlineStr">
        <is>
          <t>Cadence rata-rata (spm)</t>
        </is>
      </c>
      <c r="B10" s="42">
        <f>IFERROR(AVERAGEIFS(Komparatif!Q5:Q22,Komparatif!$C$5:$C$22,"Jul",Komparatif!$F$5:$F$22,"Road"),"")</f>
        <v/>
      </c>
      <c r="C10" s="42">
        <f>IFERROR(AVERAGEIFS(Komparatif!Q5:Q22,Komparatif!$C$5:$C$22,"Agu",Komparatif!$F$5:$F$22,"Road"),"")</f>
        <v/>
      </c>
      <c r="D10" s="42">
        <f>IFERROR(AVERAGEIFS(Komparatif!Q5:Q22,Komparatif!$C$5:$C$22,"Sep",Komparatif!$F$5:$F$22,"Road"),"")</f>
        <v/>
      </c>
      <c r="E10" s="43">
        <f>IF(OR(B10="",D10=""),"",D10-B10)</f>
        <v/>
      </c>
      <c r="F10" s="44">
        <f>IF(OR(B10="",B10=0,D10=""),"",D10/B10-1)</f>
        <v/>
      </c>
    </row>
    <row r="11">
      <c r="A11" s="41" t="inlineStr">
        <is>
          <t>Stride rata-rata (m)</t>
        </is>
      </c>
      <c r="B11" s="15">
        <f>IFERROR(AVERAGEIFS(Komparatif!T5:T22,Komparatif!$C$5:$C$22,"Jul",Komparatif!$F$5:$F$22,"Road"),"")</f>
        <v/>
      </c>
      <c r="C11" s="15">
        <f>IFERROR(AVERAGEIFS(Komparatif!T5:T22,Komparatif!$C$5:$C$22,"Agu",Komparatif!$F$5:$F$22,"Road"),"")</f>
        <v/>
      </c>
      <c r="D11" s="15">
        <f>IFERROR(AVERAGEIFS(Komparatif!T5:T22,Komparatif!$C$5:$C$22,"Sep",Komparatif!$F$5:$F$22,"Road"),"")</f>
        <v/>
      </c>
      <c r="E11" s="47">
        <f>IF(OR(B11="",D11=""),"",D11-B11)</f>
        <v/>
      </c>
      <c r="F11" s="44">
        <f>IF(OR(B11="",B11=0,D11=""),"",D11/B11-1)</f>
        <v/>
      </c>
    </row>
    <row r="12">
      <c r="A12" s="41" t="inlineStr">
        <is>
          <t>Efisiensi (m/mnt per bpm)</t>
        </is>
      </c>
      <c r="B12" s="15">
        <f>IFERROR(AVERAGEIFS(Komparatif!AH5:AH22,Komparatif!$C$5:$C$22,"Jul",Komparatif!$F$5:$F$22,"Road"),"")</f>
        <v/>
      </c>
      <c r="C12" s="15">
        <f>IFERROR(AVERAGEIFS(Komparatif!AH5:AH22,Komparatif!$C$5:$C$22,"Agu",Komparatif!$F$5:$F$22,"Road"),"")</f>
        <v/>
      </c>
      <c r="D12" s="15">
        <f>IFERROR(AVERAGEIFS(Komparatif!AH5:AH22,Komparatif!$C$5:$C$22,"Sep",Komparatif!$F$5:$F$22,"Road"),"")</f>
        <v/>
      </c>
      <c r="E12" s="47">
        <f>IF(OR(B12="",D12=""),"",D12-B12)</f>
        <v/>
      </c>
      <c r="F12" s="44">
        <f>IF(OR(B12="",B12=0,D12=""),"",D12/B12-1)</f>
        <v/>
      </c>
    </row>
    <row r="13">
      <c r="A13" s="41" t="inlineStr">
        <is>
          <t>Suhu rata-rata (C)</t>
        </is>
      </c>
      <c r="B13" s="16">
        <f>IFERROR(AVERAGEIFS(Komparatif!Z5:Z22,Komparatif!$C$5:$C$22,"Jul",Komparatif!$F$5:$F$22,"Road"),"")</f>
        <v/>
      </c>
      <c r="C13" s="16">
        <f>IFERROR(AVERAGEIFS(Komparatif!Z5:Z22,Komparatif!$C$5:$C$22,"Agu",Komparatif!$F$5:$F$22,"Road"),"")</f>
        <v/>
      </c>
      <c r="D13" s="16">
        <f>IFERROR(AVERAGEIFS(Komparatif!Z5:Z22,Komparatif!$C$5:$C$22,"Sep",Komparatif!$F$5:$F$22,"Road"),"")</f>
        <v/>
      </c>
      <c r="E13" s="48">
        <f>IF(OR(B13="",D13=""),"",D13-B13)</f>
        <v/>
      </c>
      <c r="F13" s="44">
        <f>IF(OR(B13="",B13=0,D13=""),"",D13/B13-1)</f>
        <v/>
      </c>
    </row>
    <row r="14">
      <c r="A14" s="41" t="inlineStr">
        <is>
          <t>Kalori rata-rata</t>
        </is>
      </c>
      <c r="B14" s="42">
        <f>IFERROR(AVERAGEIFS(Komparatif!AC5:AC22,Komparatif!$C$5:$C$22,"Jul",Komparatif!$F$5:$F$22,"Road"),"")</f>
        <v/>
      </c>
      <c r="C14" s="42">
        <f>IFERROR(AVERAGEIFS(Komparatif!AC5:AC22,Komparatif!$C$5:$C$22,"Agu",Komparatif!$F$5:$F$22,"Road"),"")</f>
        <v/>
      </c>
      <c r="D14" s="42">
        <f>IFERROR(AVERAGEIFS(Komparatif!AC5:AC22,Komparatif!$C$5:$C$22,"Sep",Komparatif!$F$5:$F$22,"Road"),"")</f>
        <v/>
      </c>
      <c r="E14" s="43">
        <f>IF(OR(B14="",D14=""),"",D14-B14)</f>
        <v/>
      </c>
      <c r="F14" s="44">
        <f>IF(OR(B14="",B14=0,D14=""),"",D14/B14-1)</f>
        <v/>
      </c>
    </row>
    <row r="16">
      <c r="A16" s="2" t="inlineStr">
        <is>
          <t>Untuk Pace dan Best km, angka Perubahan yang negatif berarti MEMBAIK (lebih cepat).</t>
        </is>
      </c>
    </row>
    <row r="17">
      <c r="A17" s="2" t="inlineStr">
        <is>
          <t>Efisiensi = kecepatan (meter per menit) dibagi HR rata-rata. Makin tinggi makin efisien.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4" customWidth="1" min="8" max="8"/>
    <col width="46" customWidth="1" min="9" max="9"/>
  </cols>
  <sheetData>
    <row r="1">
      <c r="A1" s="6" t="inlineStr">
        <is>
          <t>Analisis Performa</t>
        </is>
      </c>
    </row>
    <row r="2">
      <c r="A2" s="2" t="inlineStr">
        <is>
          <t>Pendalaman: dari mana kecepatan datang, dan apa yang berubah.</t>
        </is>
      </c>
    </row>
    <row r="4">
      <c r="A4" s="49" t="inlineStr">
        <is>
          <t>A.  DEKOMPOSISI KECEPATAN   -   kecepatan = cadence x stride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</row>
    <row r="5" ht="30" customHeight="1">
      <c r="A5" s="7" t="inlineStr">
        <is>
          <t>Pasangan sesi</t>
        </is>
      </c>
      <c r="B5" s="7" t="inlineStr">
        <is>
          <t>Cad awal</t>
        </is>
      </c>
      <c r="C5" s="7" t="inlineStr">
        <is>
          <t>Cad akhir</t>
        </is>
      </c>
      <c r="D5" s="7" t="inlineStr">
        <is>
          <t>Delta Cadence</t>
        </is>
      </c>
      <c r="E5" s="7" t="inlineStr">
        <is>
          <t>Stride awal</t>
        </is>
      </c>
      <c r="F5" s="7" t="inlineStr">
        <is>
          <t>Stride akhir</t>
        </is>
      </c>
      <c r="G5" s="7" t="inlineStr">
        <is>
          <t>Delta Stride</t>
        </is>
      </c>
      <c r="H5" s="7" t="inlineStr">
        <is>
          <t>Delta Kecepatan</t>
        </is>
      </c>
      <c r="I5" s="7" t="inlineStr">
        <is>
          <t>Kontribusi stride</t>
        </is>
      </c>
    </row>
    <row r="6">
      <c r="A6" s="8" t="inlineStr">
        <is>
          <t>21 Jul  ke  14 Sep   (seluruh program)</t>
        </is>
      </c>
      <c r="B6" s="43">
        <f>Komparatif!Q7</f>
        <v/>
      </c>
      <c r="C6" s="43">
        <f>Komparatif!Q22</f>
        <v/>
      </c>
      <c r="D6" s="44">
        <f>C6/B6-1</f>
        <v/>
      </c>
      <c r="E6" s="47">
        <f>Komparatif!T7</f>
        <v/>
      </c>
      <c r="F6" s="47">
        <f>Komparatif!T22</f>
        <v/>
      </c>
      <c r="G6" s="44">
        <f>F6/E6-1</f>
        <v/>
      </c>
      <c r="H6" s="44">
        <f>(C6*F6)/(B6*E6)-1</f>
        <v/>
      </c>
      <c r="I6" s="41">
        <f>IFERROR(IF(LN(C6/B6)*LN(F6/E6)&lt;0,"faktor berlawanan arah",TEXT(LN(F6/E6)/(LN(C6/B6)+LN(F6/E6)),"0%")),"-")</f>
        <v/>
      </c>
    </row>
    <row r="7">
      <c r="A7" s="8" t="inlineStr">
        <is>
          <t>6 Sep  ke  14 Sep   (terobosan stride)</t>
        </is>
      </c>
      <c r="B7" s="43">
        <f>Komparatif!Q20</f>
        <v/>
      </c>
      <c r="C7" s="43">
        <f>Komparatif!Q22</f>
        <v/>
      </c>
      <c r="D7" s="44">
        <f>C7/B7-1</f>
        <v/>
      </c>
      <c r="E7" s="47">
        <f>Komparatif!T20</f>
        <v/>
      </c>
      <c r="F7" s="47">
        <f>Komparatif!T22</f>
        <v/>
      </c>
      <c r="G7" s="44">
        <f>F7/E7-1</f>
        <v/>
      </c>
      <c r="H7" s="44">
        <f>(C7*F7)/(B7*E7)-1</f>
        <v/>
      </c>
      <c r="I7" s="41">
        <f>IFERROR(IF(LN(C7/B7)*LN(F7/E7)&lt;0,"faktor berlawanan arah",TEXT(LN(F7/E7)/(LN(C7/B7)+LN(F7/E7)),"0%")),"-")</f>
        <v/>
      </c>
    </row>
    <row r="8">
      <c r="A8" s="8" t="inlineStr">
        <is>
          <t>10 Sep  ke  14 Sep   (dua sesi terakhir)</t>
        </is>
      </c>
      <c r="B8" s="43">
        <f>Komparatif!Q21</f>
        <v/>
      </c>
      <c r="C8" s="43">
        <f>Komparatif!Q22</f>
        <v/>
      </c>
      <c r="D8" s="44">
        <f>C8/B8-1</f>
        <v/>
      </c>
      <c r="E8" s="47">
        <f>Komparatif!T21</f>
        <v/>
      </c>
      <c r="F8" s="47">
        <f>Komparatif!T22</f>
        <v/>
      </c>
      <c r="G8" s="44">
        <f>F8/E8-1</f>
        <v/>
      </c>
      <c r="H8" s="44">
        <f>(C8*F8)/(B8*E8)-1</f>
        <v/>
      </c>
      <c r="I8" s="41">
        <f>IFERROR(IF(LN(C8/B8)*LN(F8/E8)&lt;0,"faktor berlawanan arah",TEXT(LN(F8/E8)/(LN(C8/B8)+LN(F8/E8)),"0%")),"-")</f>
        <v/>
      </c>
    </row>
    <row r="9">
      <c r="A9" s="8" t="inlineStr">
        <is>
          <t>13 Agu  ke  20 Agu   (cadence naik, stride jatuh)</t>
        </is>
      </c>
      <c r="B9" s="43">
        <f>Komparatif!Q13</f>
        <v/>
      </c>
      <c r="C9" s="43">
        <f>Komparatif!Q15</f>
        <v/>
      </c>
      <c r="D9" s="44">
        <f>C9/B9-1</f>
        <v/>
      </c>
      <c r="E9" s="47">
        <f>Komparatif!T13</f>
        <v/>
      </c>
      <c r="F9" s="47">
        <f>Komparatif!T15</f>
        <v/>
      </c>
      <c r="G9" s="44">
        <f>F9/E9-1</f>
        <v/>
      </c>
      <c r="H9" s="44">
        <f>(C9*F9)/(B9*E9)-1</f>
        <v/>
      </c>
      <c r="I9" s="41">
        <f>IFERROR(IF(LN(C9/B9)*LN(F9/E9)&lt;0,"faktor berlawanan arah",TEXT(LN(F9/E9)/(LN(C9/B9)+LN(F9/E9)),"0%")),"-")</f>
        <v/>
      </c>
    </row>
    <row r="10">
      <c r="A10" s="2" t="inlineStr">
        <is>
          <t>Kontribusi stride = ln(rasio stride) dibagi ln(rasio total kecepatan). Angka 100% berarti seluruh perbaikan datang dari panjang langkah.</t>
        </is>
      </c>
    </row>
    <row r="11">
      <c r="A11" s="2" t="inlineStr">
        <is>
          <t>Bila cadence dan stride bergerak berlawanan arah, pembagian kontribusi tidak bermakna - kolom terakhir menandainya.</t>
        </is>
      </c>
    </row>
    <row r="13">
      <c r="A13" s="49" t="inlineStr">
        <is>
          <t>B.  EFISIENSI   -   kecepatan per denyut jantung</t>
        </is>
      </c>
      <c r="B13" s="50" t="n"/>
      <c r="C13" s="50" t="n"/>
      <c r="D13" s="50" t="n"/>
      <c r="E13" s="50" t="n"/>
      <c r="F13" s="50" t="n"/>
      <c r="G13" s="50" t="n"/>
      <c r="H13" s="50" t="n"/>
      <c r="I13" s="50" t="n"/>
    </row>
    <row r="14" ht="30" customHeight="1">
      <c r="A14" s="7" t="inlineStr">
        <is>
          <t>Sesi</t>
        </is>
      </c>
      <c r="B14" s="7" t="inlineStr">
        <is>
          <t>Pace /km</t>
        </is>
      </c>
      <c r="C14" s="7" t="inlineStr">
        <is>
          <t>HR</t>
        </is>
      </c>
      <c r="D14" s="7" t="inlineStr">
        <is>
          <t>Kecepatan (m/mnt)</t>
        </is>
      </c>
      <c r="E14" s="7" t="inlineStr">
        <is>
          <t>Efisiensi</t>
        </is>
      </c>
      <c r="F14" s="7" t="inlineStr"/>
      <c r="G14" s="7" t="inlineStr"/>
      <c r="H14" s="7" t="inlineStr"/>
      <c r="I14" s="7" t="inlineStr">
        <is>
          <t>Baca</t>
        </is>
      </c>
    </row>
    <row r="15">
      <c r="A15" s="8" t="inlineStr">
        <is>
          <t>1 Sep</t>
        </is>
      </c>
      <c r="B15" s="46">
        <f>Komparatif!J18</f>
        <v/>
      </c>
      <c r="C15" s="43">
        <f>Komparatif!O18</f>
        <v/>
      </c>
      <c r="D15" s="48">
        <f>Komparatif!H18*1000/(Komparatif!I18*1440)</f>
        <v/>
      </c>
      <c r="E15" s="47">
        <f>Komparatif!AH18</f>
        <v/>
      </c>
      <c r="I15" s="51">
        <f>IF(E19=MAX(E15:E19),"Efisiensi tertinggi ada di sesi terakhir (14 Sep).","Efisiensi tertinggi BUKAN di sesi terakhir.")</f>
        <v/>
      </c>
    </row>
    <row r="16">
      <c r="A16" s="8" t="inlineStr">
        <is>
          <t>3 Sep</t>
        </is>
      </c>
      <c r="B16" s="46">
        <f>Komparatif!J19</f>
        <v/>
      </c>
      <c r="C16" s="43">
        <f>Komparatif!O19</f>
        <v/>
      </c>
      <c r="D16" s="48">
        <f>Komparatif!H19*1000/(Komparatif!I19*1440)</f>
        <v/>
      </c>
      <c r="E16" s="47">
        <f>Komparatif!AH19</f>
        <v/>
      </c>
      <c r="I16" s="52">
        <f>"Naik "&amp;TEXT(E19/MAX(E15:E18)-1,"0.0%")&amp;" di atas efisiensi terbaik sebelumnya."</f>
        <v/>
      </c>
    </row>
    <row r="17">
      <c r="A17" s="8" t="inlineStr">
        <is>
          <t>6 Sep</t>
        </is>
      </c>
      <c r="B17" s="46">
        <f>Komparatif!J20</f>
        <v/>
      </c>
      <c r="C17" s="43">
        <f>Komparatif!O20</f>
        <v/>
      </c>
      <c r="D17" s="48">
        <f>Komparatif!H20*1000/(Komparatif!I20*1440)</f>
        <v/>
      </c>
      <c r="E17" s="47">
        <f>Komparatif!AH20</f>
        <v/>
      </c>
      <c r="I17" s="53" t="n"/>
    </row>
    <row r="18">
      <c r="A18" s="8" t="inlineStr">
        <is>
          <t>10 Sep</t>
        </is>
      </c>
      <c r="B18" s="46">
        <f>Komparatif!J21</f>
        <v/>
      </c>
      <c r="C18" s="43">
        <f>Komparatif!O21</f>
        <v/>
      </c>
      <c r="D18" s="48">
        <f>Komparatif!H21*1000/(Komparatif!I21*1440)</f>
        <v/>
      </c>
      <c r="E18" s="47">
        <f>Komparatif!AH21</f>
        <v/>
      </c>
      <c r="I18" s="53" t="n"/>
    </row>
    <row r="19">
      <c r="A19" s="8" t="inlineStr">
        <is>
          <t>14 Sep</t>
        </is>
      </c>
      <c r="B19" s="46">
        <f>Komparatif!J22</f>
        <v/>
      </c>
      <c r="C19" s="43">
        <f>Komparatif!O22</f>
        <v/>
      </c>
      <c r="D19" s="48">
        <f>Komparatif!H22*1000/(Komparatif!I22*1440)</f>
        <v/>
      </c>
      <c r="E19" s="47">
        <f>Komparatif!AH22</f>
        <v/>
      </c>
      <c r="I19" s="53" t="n"/>
    </row>
    <row r="21">
      <c r="A21" s="49" t="inlineStr">
        <is>
          <t>C.  PROGRES PER METRIK   -   sesi lari pertama vs terakhir</t>
        </is>
      </c>
      <c r="B21" s="50" t="n"/>
      <c r="C21" s="50" t="n"/>
      <c r="D21" s="50" t="n"/>
      <c r="E21" s="50" t="n"/>
      <c r="F21" s="50" t="n"/>
      <c r="G21" s="50" t="n"/>
      <c r="H21" s="50" t="n"/>
      <c r="I21" s="50" t="n"/>
    </row>
    <row r="22" ht="30" customHeight="1">
      <c r="A22" s="7" t="inlineStr">
        <is>
          <t>Metrik</t>
        </is>
      </c>
      <c r="B22" s="7" t="inlineStr">
        <is>
          <t>21 Jul</t>
        </is>
      </c>
      <c r="C22" s="7" t="inlineStr">
        <is>
          <t>14 Sep</t>
        </is>
      </c>
      <c r="D22" s="7" t="inlineStr">
        <is>
          <t>Selisih</t>
        </is>
      </c>
      <c r="E22" s="7" t="inlineStr">
        <is>
          <t>Perubahan</t>
        </is>
      </c>
      <c r="F22" s="7" t="inlineStr"/>
      <c r="G22" s="7" t="inlineStr"/>
      <c r="H22" s="7" t="inlineStr"/>
      <c r="I22" s="7" t="inlineStr">
        <is>
          <t>Status</t>
        </is>
      </c>
    </row>
    <row r="23">
      <c r="A23" s="41" t="inlineStr">
        <is>
          <t>Waktu 5K</t>
        </is>
      </c>
      <c r="B23" s="54">
        <f>Komparatif!I7</f>
        <v/>
      </c>
      <c r="C23" s="54">
        <f>Komparatif!I22</f>
        <v/>
      </c>
      <c r="D23" s="54">
        <f>C23-B23</f>
        <v/>
      </c>
      <c r="E23" s="44">
        <f>IF(B23=0,"",C23/B23-1)</f>
        <v/>
      </c>
      <c r="I23" s="41">
        <f>IF(D23&lt;0,"Membaik","Perlu dicek")</f>
        <v/>
      </c>
    </row>
    <row r="24">
      <c r="A24" s="41" t="inlineStr">
        <is>
          <t>Pace /km</t>
        </is>
      </c>
      <c r="B24" s="46">
        <f>Komparatif!J7</f>
        <v/>
      </c>
      <c r="C24" s="46">
        <f>Komparatif!J22</f>
        <v/>
      </c>
      <c r="D24" s="46">
        <f>C24-B24</f>
        <v/>
      </c>
      <c r="E24" s="44">
        <f>IF(B24=0,"",C24/B24-1)</f>
        <v/>
      </c>
      <c r="I24" s="41">
        <f>IF(D24&lt;0,"Membaik","Perlu dicek")</f>
        <v/>
      </c>
    </row>
    <row r="25">
      <c r="A25" s="41" t="inlineStr">
        <is>
          <t>Best km</t>
        </is>
      </c>
      <c r="B25" s="46">
        <f>Komparatif!K7</f>
        <v/>
      </c>
      <c r="C25" s="46">
        <f>Komparatif!K22</f>
        <v/>
      </c>
      <c r="D25" s="46">
        <f>C25-B25</f>
        <v/>
      </c>
      <c r="E25" s="44">
        <f>IF(B25=0,"",C25/B25-1)</f>
        <v/>
      </c>
      <c r="I25" s="41">
        <f>IF(D25&lt;0,"Membaik","Perlu dicek")</f>
        <v/>
      </c>
    </row>
    <row r="26">
      <c r="A26" s="41" t="inlineStr">
        <is>
          <t>Cadence (spm)</t>
        </is>
      </c>
      <c r="B26" s="43">
        <f>Komparatif!Q7</f>
        <v/>
      </c>
      <c r="C26" s="43">
        <f>Komparatif!Q22</f>
        <v/>
      </c>
      <c r="D26" s="43">
        <f>C26-B26</f>
        <v/>
      </c>
      <c r="E26" s="44">
        <f>IF(B26=0,"",C26/B26-1)</f>
        <v/>
      </c>
      <c r="I26" s="41">
        <f>IF(D26&gt;0,"Membaik","Perlu dicek")</f>
        <v/>
      </c>
    </row>
    <row r="27">
      <c r="A27" s="41" t="inlineStr">
        <is>
          <t>Stride hitung (m)</t>
        </is>
      </c>
      <c r="B27" s="47">
        <f>Komparatif!T7</f>
        <v/>
      </c>
      <c r="C27" s="47">
        <f>Komparatif!T22</f>
        <v/>
      </c>
      <c r="D27" s="47">
        <f>C27-B27</f>
        <v/>
      </c>
      <c r="E27" s="44">
        <f>IF(B27=0,"",C27/B27-1)</f>
        <v/>
      </c>
      <c r="I27" s="41">
        <f>IF(D27&gt;0,"Membaik","Perlu dicek")</f>
        <v/>
      </c>
    </row>
    <row r="28">
      <c r="A28" s="41" t="inlineStr">
        <is>
          <t>HR rata-rata (bpm)</t>
        </is>
      </c>
      <c r="B28" s="43">
        <f>Komparatif!O7</f>
        <v/>
      </c>
      <c r="C28" s="43">
        <f>Komparatif!O22</f>
        <v/>
      </c>
      <c r="D28" s="43">
        <f>C28-B28</f>
        <v/>
      </c>
      <c r="E28" s="44">
        <f>IF(B28=0,"",C28/B28-1)</f>
        <v/>
      </c>
      <c r="I28" s="41">
        <f>IF(D28&gt;0,"Membaik","Perlu dicek")</f>
        <v/>
      </c>
    </row>
    <row r="29">
      <c r="A29" s="41" t="inlineStr">
        <is>
          <t>Efisiensi</t>
        </is>
      </c>
      <c r="B29" s="47">
        <f>Komparatif!AH7</f>
        <v/>
      </c>
      <c r="C29" s="47">
        <f>Komparatif!AH22</f>
        <v/>
      </c>
      <c r="D29" s="47">
        <f>C29-B29</f>
        <v/>
      </c>
      <c r="E29" s="44">
        <f>IF(B29=0,"",C29/B29-1)</f>
        <v/>
      </c>
      <c r="I29" s="41">
        <f>IF(D29&gt;0,"Membaik","Perlu dicek")</f>
        <v/>
      </c>
    </row>
    <row r="30">
      <c r="A30" s="41" t="inlineStr">
        <is>
          <t>Aerobic TE</t>
        </is>
      </c>
      <c r="B30" s="48">
        <f>Komparatif!Y7</f>
        <v/>
      </c>
      <c r="C30" s="48">
        <f>Komparatif!Y22</f>
        <v/>
      </c>
      <c r="D30" s="48">
        <f>C30-B30</f>
        <v/>
      </c>
      <c r="E30" s="44">
        <f>IF(B30=0,"",C30/B30-1)</f>
        <v/>
      </c>
      <c r="I30" s="41">
        <f>IF(D30&gt;0,"Membaik","Perlu dicek")</f>
        <v/>
      </c>
    </row>
    <row r="32">
      <c r="A32" s="49" t="inlineStr">
        <is>
          <t>D.  BENTUK SPLIT   -   melambat atau justru mempercepat di akhir</t>
        </is>
      </c>
      <c r="B32" s="50" t="n"/>
      <c r="C32" s="50" t="n"/>
      <c r="D32" s="50" t="n"/>
      <c r="E32" s="50" t="n"/>
      <c r="F32" s="50" t="n"/>
      <c r="G32" s="50" t="n"/>
      <c r="H32" s="50" t="n"/>
      <c r="I32" s="50" t="n"/>
    </row>
    <row r="33" ht="30" customHeight="1">
      <c r="A33" s="7" t="inlineStr">
        <is>
          <t>Sesi</t>
        </is>
      </c>
      <c r="B33" s="7" t="inlineStr">
        <is>
          <t>KM tercepat</t>
        </is>
      </c>
      <c r="C33" s="7" t="inlineStr">
        <is>
          <t>KM terlambat</t>
        </is>
      </c>
      <c r="D33" s="7" t="inlineStr">
        <is>
          <t>Sebaran</t>
        </is>
      </c>
      <c r="E33" s="7" t="inlineStr">
        <is>
          <t>Bentuk</t>
        </is>
      </c>
      <c r="F33" s="7" t="inlineStr"/>
      <c r="G33" s="7" t="inlineStr"/>
      <c r="H33" s="7" t="inlineStr"/>
      <c r="I33" s="7" t="inlineStr">
        <is>
          <t>Baca</t>
        </is>
      </c>
    </row>
    <row r="34">
      <c r="A34" s="8" t="inlineStr">
        <is>
          <t>6 Agu</t>
        </is>
      </c>
      <c r="B34" s="46" t="n">
        <v>0.00634837962962963</v>
      </c>
      <c r="C34" s="46" t="n">
        <v>0.007118055555555555</v>
      </c>
      <c r="D34" s="46">
        <f>C34-B34</f>
        <v/>
      </c>
      <c r="E34" s="41" t="inlineStr">
        <is>
          <t>Positive split</t>
        </is>
      </c>
      <c r="I34" s="52" t="inlineStr">
        <is>
          <t>Melambat 67 dtk - km 3 titik pecahnya</t>
        </is>
      </c>
    </row>
    <row r="35">
      <c r="A35" s="8" t="inlineStr">
        <is>
          <t>26 Agu</t>
        </is>
      </c>
      <c r="B35" s="46" t="n">
        <v>0.005578703703703704</v>
      </c>
      <c r="C35" s="46" t="n">
        <v>0.006342592592592592</v>
      </c>
      <c r="D35" s="46">
        <f>C35-B35</f>
        <v/>
      </c>
      <c r="E35" s="41" t="inlineStr">
        <is>
          <t>Negative split</t>
        </is>
      </c>
      <c r="I35" s="52" t="inlineStr">
        <is>
          <t>Km terakhir 56 dtk lebih cepat dari km 1</t>
        </is>
      </c>
    </row>
    <row r="36">
      <c r="A36" s="8" t="inlineStr">
        <is>
          <t>1 Sep</t>
        </is>
      </c>
      <c r="B36" s="46" t="n">
        <v>0.005752314814814815</v>
      </c>
      <c r="C36" s="46" t="n">
        <v>0.007476851851851852</v>
      </c>
      <c r="D36" s="46">
        <f>C36-B36</f>
        <v/>
      </c>
      <c r="E36" s="41" t="inlineStr">
        <is>
          <t>Positive split</t>
        </is>
      </c>
      <c r="I36" s="52" t="inlineStr">
        <is>
          <t>Kolaps DOMS - cadence jatuh ke 138 di km 5</t>
        </is>
      </c>
    </row>
    <row r="37">
      <c r="A37" s="8" t="inlineStr">
        <is>
          <t>3 Sep</t>
        </is>
      </c>
      <c r="B37" s="46" t="n">
        <v>0.005520833333333333</v>
      </c>
      <c r="C37" s="46" t="n">
        <v>0.006273148148148148</v>
      </c>
      <c r="D37" s="46">
        <f>C37-B37</f>
        <v/>
      </c>
      <c r="E37" s="41" t="inlineStr">
        <is>
          <t>Negative split</t>
        </is>
      </c>
      <c r="I37" s="52" t="inlineStr">
        <is>
          <t>Km terakhir tercepat (7:57/km)</t>
        </is>
      </c>
    </row>
    <row r="38">
      <c r="A38" s="8" t="inlineStr">
        <is>
          <t>6 Sep</t>
        </is>
      </c>
      <c r="B38" s="46" t="n">
        <v>0.005717592592592593</v>
      </c>
      <c r="C38" s="46" t="n">
        <v>0.006122685185185185</v>
      </c>
      <c r="D38" s="46">
        <f>C38-B38</f>
        <v/>
      </c>
      <c r="E38" s="41" t="inlineStr">
        <is>
          <t>Cukup rata</t>
        </is>
      </c>
      <c r="I38" s="52" t="inlineStr">
        <is>
          <t>Sebaran tersempit - 35 dtk</t>
        </is>
      </c>
    </row>
    <row r="39">
      <c r="A39" s="8" t="inlineStr">
        <is>
          <t>10 Sep</t>
        </is>
      </c>
      <c r="B39" s="46" t="n">
        <v>0.005775462962962963</v>
      </c>
      <c r="C39" s="46" t="n">
        <v>0.006203703703703703</v>
      </c>
      <c r="D39" s="46">
        <f>C39-B39</f>
        <v/>
      </c>
      <c r="E39" s="41" t="inlineStr">
        <is>
          <t>Cukup rata</t>
        </is>
      </c>
      <c r="I39" s="52" t="inlineStr">
        <is>
          <t>Sebaran 37 dtk, km tercepat di tengah</t>
        </is>
      </c>
    </row>
    <row r="40">
      <c r="A40" s="8" t="inlineStr">
        <is>
          <t>14 Sep</t>
        </is>
      </c>
      <c r="B40" s="46" t="n">
        <v>0.005023148148148148</v>
      </c>
      <c r="C40" s="46" t="n">
        <v>0.005856481481481482</v>
      </c>
      <c r="D40" s="46">
        <f>C40-B40</f>
        <v/>
      </c>
      <c r="E40" s="41" t="inlineStr">
        <is>
          <t>Surge di km 4</t>
        </is>
      </c>
      <c r="I40" s="52" t="inlineStr">
        <is>
          <t>Sebaran 72 dtk - km 4 (7:14) jauh di depan</t>
        </is>
      </c>
    </row>
    <row r="42">
      <c r="A42" s="49" t="inlineStr">
        <is>
          <t>E.  TEMUAN UTAMA</t>
        </is>
      </c>
      <c r="B42" s="50" t="n"/>
      <c r="C42" s="50" t="n"/>
      <c r="D42" s="50" t="n"/>
      <c r="E42" s="50" t="n"/>
      <c r="F42" s="50" t="n"/>
      <c r="G42" s="50" t="n"/>
      <c r="H42" s="50" t="n"/>
      <c r="I42" s="50" t="n"/>
    </row>
    <row r="44" ht="28" customHeight="1">
      <c r="A44" s="4" t="inlineStr">
        <is>
          <t>1.  Rekor baru 14 Sep: 40:02 untuk 5,01 km - memangkas 2 menit 40 detik dari PR sebelumnya 42:42 (3 Sep).</t>
        </is>
      </c>
    </row>
    <row r="45" ht="28" customHeight="1">
      <c r="A45" s="4" t="inlineStr">
        <is>
          <t>2.  Stride pecah dari plateau dua bulan: 0,698 m (6 Sep) menjadi 0,750 m (14 Sep), naik 5,2 cm.</t>
        </is>
      </c>
    </row>
    <row r="46" ht="28" customHeight="1">
      <c r="A46" s="4" t="inlineStr">
        <is>
          <t>3.  Terhadap PR lama 3 Sep, cadence justru TURUN 1 spm. Jadi hampir seluruh perbaikan datang dari stride, bukan frekuensi langkah.</t>
        </is>
      </c>
    </row>
    <row r="47" ht="28" customHeight="1">
      <c r="A47" s="4" t="inlineStr">
        <is>
          <t>4.  Efisiensi (kecepatan per denyut) tertinggi sepanjang data - naik 6,1 persen di atas rekor efisiensi sebelumnya.</t>
        </is>
      </c>
    </row>
    <row r="48" ht="28" customHeight="1">
      <c r="A48" s="4" t="inlineStr">
        <is>
          <t>5.  HR rata-rata berhenti naik: 149 - 157 - 159 - 159 - 157. Peringatan decoupling 6 Sep sudah teratasi.</t>
        </is>
      </c>
    </row>
    <row r="49" ht="28" customHeight="1">
      <c r="A49" s="4" t="inlineStr">
        <is>
          <t>6.  Training load justru turun (117 ke 104) di sesi tercepat - sesi terbaik bukan sesi terberat.</t>
        </is>
      </c>
    </row>
    <row r="50" ht="28" customHeight="1">
      <c r="A50" s="4" t="inlineStr">
        <is>
          <t>7.  Sesi strength 8, 11, dan 15 Sep sudah berjalan. Terlalu cepat untuk adaptasi tendon (butuh 6 minggu), jadi lompatan stride sekarang kemungkinan neuromuskular. Efek terbesarnya belum datang.</t>
        </is>
      </c>
    </row>
    <row r="51" ht="28" customHeight="1">
      <c r="A51" s="4" t="inlineStr">
        <is>
          <t>8.  ACWR lari-saja turun ke 0,57 - di BAWAH sweet spot 0,80-1,30. Ada ruang menambah beban.</t>
        </is>
      </c>
    </row>
    <row r="52" ht="28" customHeight="1">
      <c r="A52" s="4" t="inlineStr">
        <is>
          <t>9.  Frekuensi September paling teratur sepanjang program: 5 sesi dalam 14 hari dengan jeda 2-4 hari.</t>
        </is>
      </c>
    </row>
    <row r="53" ht="28" customHeight="1">
      <c r="A53" s="4" t="inlineStr">
        <is>
          <t>10. Yang belum bergerak sejak Juli: jarak terjauh (6,40 km), elevasi terbesar (516 m), dan jumlah sesi trail (nol).</t>
        </is>
      </c>
    </row>
  </sheetData>
  <mergeCells count="10">
    <mergeCell ref="A52:I52"/>
    <mergeCell ref="A49:I49"/>
    <mergeCell ref="A51:I51"/>
    <mergeCell ref="A47:I47"/>
    <mergeCell ref="A46:I46"/>
    <mergeCell ref="A44:I44"/>
    <mergeCell ref="A45:I45"/>
    <mergeCell ref="A53:I53"/>
    <mergeCell ref="A50:I50"/>
    <mergeCell ref="A48:I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" customWidth="1" min="3" max="3"/>
    <col width="11" customWidth="1" min="4" max="4"/>
    <col width="10" customWidth="1" min="5" max="5"/>
    <col width="10" customWidth="1" min="6" max="6"/>
    <col width="7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</cols>
  <sheetData>
    <row r="1">
      <c r="A1" s="6" t="inlineStr">
        <is>
          <t>Detail Lap per Kilometer</t>
        </is>
      </c>
    </row>
    <row r="2">
      <c r="A2" s="2" t="inlineStr">
        <is>
          <t>8 sesi yang punya data lap. Lap pecahan (kurang dari 1 km) tidak dihitung pace-nya.</t>
        </is>
      </c>
    </row>
    <row r="4" ht="30" customHeight="1">
      <c r="A4" s="7" t="inlineStr">
        <is>
          <t>Tanggal</t>
        </is>
      </c>
      <c r="B4" s="7" t="inlineStr">
        <is>
          <t>Sesi</t>
        </is>
      </c>
      <c r="C4" s="7" t="inlineStr">
        <is>
          <t>Lap</t>
        </is>
      </c>
      <c r="D4" s="7" t="inlineStr">
        <is>
          <t>Jarak (km)</t>
        </is>
      </c>
      <c r="E4" s="7" t="inlineStr">
        <is>
          <t>Waktu</t>
        </is>
      </c>
      <c r="F4" s="7" t="inlineStr">
        <is>
          <t>Pace /km</t>
        </is>
      </c>
      <c r="G4" s="7" t="inlineStr">
        <is>
          <t>HR</t>
        </is>
      </c>
      <c r="H4" s="7" t="inlineStr">
        <is>
          <t>Cadence</t>
        </is>
      </c>
      <c r="I4" s="7" t="inlineStr">
        <is>
          <t>Stride (m)</t>
        </is>
      </c>
      <c r="J4" s="7" t="inlineStr">
        <is>
          <t>GCT (ms)</t>
        </is>
      </c>
      <c r="K4" s="7" t="inlineStr">
        <is>
          <t>Power (W)</t>
        </is>
      </c>
      <c r="L4" s="7" t="inlineStr">
        <is>
          <t>Terbaik</t>
        </is>
      </c>
    </row>
    <row r="5">
      <c r="A5" s="8" t="inlineStr">
        <is>
          <t>06/08/2026</t>
        </is>
      </c>
      <c r="B5" s="8" t="inlineStr">
        <is>
          <t>Jakarta Run</t>
        </is>
      </c>
      <c r="C5" s="8" t="n">
        <v>1</v>
      </c>
      <c r="D5" s="10" t="n">
        <v>1</v>
      </c>
      <c r="E5" s="13" t="n">
        <v>0.00634837962962963</v>
      </c>
      <c r="F5" s="12">
        <f>IF(D5&lt;0.9,"",E5/D5)</f>
        <v/>
      </c>
      <c r="G5" s="8" t="n"/>
      <c r="H5" s="8" t="n"/>
      <c r="I5" s="10" t="n"/>
      <c r="J5" s="8" t="n"/>
      <c r="K5" s="8" t="n"/>
      <c r="L5" s="8" t="inlineStr"/>
    </row>
    <row r="6">
      <c r="A6" s="8" t="inlineStr"/>
      <c r="B6" s="8" t="inlineStr"/>
      <c r="C6" s="8" t="n">
        <v>2</v>
      </c>
      <c r="D6" s="10" t="n">
        <v>1</v>
      </c>
      <c r="E6" s="13" t="n">
        <v>0.006327546296296296</v>
      </c>
      <c r="F6" s="12">
        <f>IF(D6&lt;0.9,"",E6/D6)</f>
        <v/>
      </c>
      <c r="G6" s="8" t="n"/>
      <c r="H6" s="8" t="n"/>
      <c r="I6" s="10" t="n"/>
      <c r="J6" s="8" t="n"/>
      <c r="K6" s="8" t="n"/>
      <c r="L6" s="8" t="inlineStr"/>
    </row>
    <row r="7">
      <c r="A7" s="8" t="inlineStr"/>
      <c r="B7" s="8" t="inlineStr"/>
      <c r="C7" s="8" t="n">
        <v>3</v>
      </c>
      <c r="D7" s="10" t="n">
        <v>1</v>
      </c>
      <c r="E7" s="13" t="n">
        <v>0.007061342592592593</v>
      </c>
      <c r="F7" s="12">
        <f>IF(D7&lt;0.9,"",E7/D7)</f>
        <v/>
      </c>
      <c r="G7" s="8" t="n"/>
      <c r="H7" s="8" t="n"/>
      <c r="I7" s="10" t="n"/>
      <c r="J7" s="8" t="n"/>
      <c r="K7" s="8" t="n"/>
      <c r="L7" s="8" t="inlineStr"/>
    </row>
    <row r="8">
      <c r="A8" s="8" t="inlineStr"/>
      <c r="B8" s="8" t="inlineStr"/>
      <c r="C8" s="8" t="n">
        <v>4</v>
      </c>
      <c r="D8" s="10" t="n">
        <v>1</v>
      </c>
      <c r="E8" s="13" t="n">
        <v>0.006797453703703703</v>
      </c>
      <c r="F8" s="12">
        <f>IF(D8&lt;0.9,"",E8/D8)</f>
        <v/>
      </c>
      <c r="G8" s="8" t="n"/>
      <c r="H8" s="8" t="n"/>
      <c r="I8" s="10" t="n"/>
      <c r="J8" s="8" t="n"/>
      <c r="K8" s="8" t="n"/>
      <c r="L8" s="8" t="inlineStr"/>
    </row>
    <row r="9">
      <c r="A9" s="8" t="inlineStr"/>
      <c r="B9" s="8" t="inlineStr"/>
      <c r="C9" s="8" t="n">
        <v>5</v>
      </c>
      <c r="D9" s="10" t="n">
        <v>1</v>
      </c>
      <c r="E9" s="13" t="n">
        <v>0.007118055555555555</v>
      </c>
      <c r="F9" s="12">
        <f>IF(D9&lt;0.9,"",E9/D9)</f>
        <v/>
      </c>
      <c r="G9" s="8" t="n"/>
      <c r="H9" s="8" t="n"/>
      <c r="I9" s="10" t="n"/>
      <c r="J9" s="8" t="n"/>
      <c r="K9" s="8" t="n"/>
      <c r="L9" s="8" t="inlineStr"/>
    </row>
    <row r="10">
      <c r="A10" s="8" t="inlineStr"/>
      <c r="B10" s="8" t="inlineStr"/>
      <c r="C10" s="8" t="n">
        <v>6</v>
      </c>
      <c r="D10" s="10" t="n">
        <v>0.02</v>
      </c>
      <c r="E10" s="13" t="n">
        <v>0.0001597222222222222</v>
      </c>
      <c r="F10" s="12">
        <f>IF(D10&lt;0.9,"",E10/D10)</f>
        <v/>
      </c>
      <c r="G10" s="8" t="n"/>
      <c r="H10" s="8" t="n"/>
      <c r="I10" s="10" t="n"/>
      <c r="J10" s="8" t="n"/>
      <c r="K10" s="8" t="n"/>
      <c r="L10" s="8" t="inlineStr"/>
    </row>
    <row r="11">
      <c r="A11" s="8" t="inlineStr">
        <is>
          <t>26/08/2026</t>
        </is>
      </c>
      <c r="B11" s="8" t="inlineStr">
        <is>
          <t>West Jakarta Run</t>
        </is>
      </c>
      <c r="C11" s="8" t="n">
        <v>1</v>
      </c>
      <c r="D11" s="10" t="n">
        <v>1</v>
      </c>
      <c r="E11" s="13" t="n">
        <v>0.006226851851851851</v>
      </c>
      <c r="F11" s="12">
        <f>IF(D11&lt;0.9,"",E11/D11)</f>
        <v/>
      </c>
      <c r="G11" s="8" t="n">
        <v>144</v>
      </c>
      <c r="H11" s="8" t="n">
        <v>159</v>
      </c>
      <c r="I11" s="10" t="n">
        <v>0.7</v>
      </c>
      <c r="J11" s="8" t="n">
        <v>317</v>
      </c>
      <c r="K11" s="8" t="n">
        <v>83</v>
      </c>
      <c r="L11" s="8" t="inlineStr"/>
    </row>
    <row r="12">
      <c r="A12" s="8" t="inlineStr"/>
      <c r="B12" s="8" t="inlineStr"/>
      <c r="C12" s="8" t="n">
        <v>2</v>
      </c>
      <c r="D12" s="10" t="n">
        <v>1</v>
      </c>
      <c r="E12" s="13" t="n">
        <v>0.006342592592592592</v>
      </c>
      <c r="F12" s="12">
        <f>IF(D12&lt;0.9,"",E12/D12)</f>
        <v/>
      </c>
      <c r="G12" s="8" t="n">
        <v>153</v>
      </c>
      <c r="H12" s="8" t="n">
        <v>165</v>
      </c>
      <c r="I12" s="10" t="n">
        <v>0.66</v>
      </c>
      <c r="J12" s="8" t="n">
        <v>310</v>
      </c>
      <c r="K12" s="8" t="n">
        <v>83</v>
      </c>
      <c r="L12" s="8" t="inlineStr"/>
    </row>
    <row r="13">
      <c r="A13" s="8" t="inlineStr"/>
      <c r="B13" s="8" t="inlineStr"/>
      <c r="C13" s="8" t="n">
        <v>3</v>
      </c>
      <c r="D13" s="10" t="n">
        <v>1</v>
      </c>
      <c r="E13" s="13" t="n">
        <v>0.006307870370370371</v>
      </c>
      <c r="F13" s="12">
        <f>IF(D13&lt;0.9,"",E13/D13)</f>
        <v/>
      </c>
      <c r="G13" s="8" t="n">
        <v>152</v>
      </c>
      <c r="H13" s="8" t="n">
        <v>162</v>
      </c>
      <c r="I13" s="10" t="n">
        <v>0.68</v>
      </c>
      <c r="J13" s="8" t="n">
        <v>311</v>
      </c>
      <c r="K13" s="8" t="n">
        <v>82</v>
      </c>
      <c r="L13" s="8" t="inlineStr"/>
    </row>
    <row r="14">
      <c r="A14" s="8" t="inlineStr"/>
      <c r="B14" s="8" t="inlineStr"/>
      <c r="C14" s="8" t="n">
        <v>4</v>
      </c>
      <c r="D14" s="10" t="n">
        <v>1</v>
      </c>
      <c r="E14" s="13" t="n">
        <v>0.005856481481481482</v>
      </c>
      <c r="F14" s="12">
        <f>IF(D14&lt;0.9,"",E14/D14)</f>
        <v/>
      </c>
      <c r="G14" s="8" t="n">
        <v>157</v>
      </c>
      <c r="H14" s="8" t="n">
        <v>162</v>
      </c>
      <c r="I14" s="10" t="n">
        <v>0.73</v>
      </c>
      <c r="J14" s="8" t="n">
        <v>304</v>
      </c>
      <c r="K14" s="8" t="n">
        <v>86</v>
      </c>
      <c r="L14" s="8" t="inlineStr"/>
    </row>
    <row r="15">
      <c r="A15" s="28" t="inlineStr"/>
      <c r="B15" s="28" t="inlineStr"/>
      <c r="C15" s="28" t="n">
        <v>5</v>
      </c>
      <c r="D15" s="30" t="n">
        <v>1</v>
      </c>
      <c r="E15" s="33" t="n">
        <v>0.005578703703703704</v>
      </c>
      <c r="F15" s="32">
        <f>IF(D15&lt;0.9,"",E15/D15)</f>
        <v/>
      </c>
      <c r="G15" s="28" t="n">
        <v>160</v>
      </c>
      <c r="H15" s="28" t="n">
        <v>162</v>
      </c>
      <c r="I15" s="30" t="n">
        <v>0.77</v>
      </c>
      <c r="J15" s="28" t="n">
        <v>314</v>
      </c>
      <c r="K15" s="28" t="n">
        <v>92</v>
      </c>
      <c r="L15" s="28" t="inlineStr">
        <is>
          <t>BEST</t>
        </is>
      </c>
    </row>
    <row r="16">
      <c r="A16" s="8" t="inlineStr"/>
      <c r="B16" s="8" t="inlineStr"/>
      <c r="C16" s="8" t="n">
        <v>6</v>
      </c>
      <c r="D16" s="10" t="n">
        <v>0.02</v>
      </c>
      <c r="E16" s="13" t="n">
        <v>0.0001157407407407407</v>
      </c>
      <c r="F16" s="12">
        <f>IF(D16&lt;0.9,"",E16/D16)</f>
        <v/>
      </c>
      <c r="G16" s="8" t="n">
        <v>162</v>
      </c>
      <c r="H16" s="8" t="n">
        <v>155</v>
      </c>
      <c r="I16" s="10" t="n">
        <v>0.65</v>
      </c>
      <c r="J16" s="8" t="n">
        <v>308</v>
      </c>
      <c r="K16" s="8" t="n">
        <v>93</v>
      </c>
      <c r="L16" s="8" t="inlineStr"/>
    </row>
    <row r="17">
      <c r="A17" s="8" t="inlineStr">
        <is>
          <t>30/08/2026</t>
        </is>
      </c>
      <c r="B17" s="8" t="inlineStr">
        <is>
          <t>Wonosobo Trail</t>
        </is>
      </c>
      <c r="C17" s="8" t="n">
        <v>1</v>
      </c>
      <c r="D17" s="10" t="n">
        <v>1</v>
      </c>
      <c r="E17" s="13" t="n">
        <v>0.03591435185185185</v>
      </c>
      <c r="F17" s="12">
        <f>IF(D17&lt;0.9,"",E17/D17)</f>
        <v/>
      </c>
      <c r="G17" s="8" t="n">
        <v>108</v>
      </c>
      <c r="H17" s="8" t="n"/>
      <c r="I17" s="10" t="n"/>
      <c r="J17" s="8" t="n"/>
      <c r="K17" s="8" t="n"/>
      <c r="L17" s="8" t="inlineStr"/>
    </row>
    <row r="18">
      <c r="A18" s="8" t="inlineStr"/>
      <c r="B18" s="8" t="inlineStr"/>
      <c r="C18" s="8" t="n">
        <v>2</v>
      </c>
      <c r="D18" s="10" t="n">
        <v>1</v>
      </c>
      <c r="E18" s="13" t="n">
        <v>0.03100694444444444</v>
      </c>
      <c r="F18" s="12">
        <f>IF(D18&lt;0.9,"",E18/D18)</f>
        <v/>
      </c>
      <c r="G18" s="8" t="n">
        <v>125</v>
      </c>
      <c r="H18" s="8" t="n"/>
      <c r="I18" s="10" t="n"/>
      <c r="J18" s="8" t="n"/>
      <c r="K18" s="8" t="n"/>
      <c r="L18" s="8" t="inlineStr"/>
    </row>
    <row r="19">
      <c r="A19" s="8" t="inlineStr"/>
      <c r="B19" s="8" t="inlineStr"/>
      <c r="C19" s="8" t="n">
        <v>3</v>
      </c>
      <c r="D19" s="10" t="n">
        <v>1</v>
      </c>
      <c r="E19" s="13" t="n">
        <v>0.01673611111111111</v>
      </c>
      <c r="F19" s="12">
        <f>IF(D19&lt;0.9,"",E19/D19)</f>
        <v/>
      </c>
      <c r="G19" s="8" t="n">
        <v>121</v>
      </c>
      <c r="H19" s="8" t="n"/>
      <c r="I19" s="10" t="n"/>
      <c r="J19" s="8" t="n"/>
      <c r="K19" s="8" t="n"/>
      <c r="L19" s="8" t="inlineStr"/>
    </row>
    <row r="20">
      <c r="A20" s="8" t="inlineStr"/>
      <c r="B20" s="8" t="inlineStr"/>
      <c r="C20" s="8" t="n">
        <v>4</v>
      </c>
      <c r="D20" s="10" t="n">
        <v>1</v>
      </c>
      <c r="E20" s="13" t="n">
        <v>0.01928240740740741</v>
      </c>
      <c r="F20" s="12">
        <f>IF(D20&lt;0.9,"",E20/D20)</f>
        <v/>
      </c>
      <c r="G20" s="8" t="n">
        <v>106</v>
      </c>
      <c r="H20" s="8" t="n"/>
      <c r="I20" s="10" t="n"/>
      <c r="J20" s="8" t="n"/>
      <c r="K20" s="8" t="n"/>
      <c r="L20" s="8" t="inlineStr"/>
    </row>
    <row r="21">
      <c r="A21" s="28" t="inlineStr"/>
      <c r="B21" s="28" t="inlineStr"/>
      <c r="C21" s="28" t="n">
        <v>5</v>
      </c>
      <c r="D21" s="30" t="n">
        <v>1</v>
      </c>
      <c r="E21" s="33" t="n">
        <v>0.01247685185185185</v>
      </c>
      <c r="F21" s="32">
        <f>IF(D21&lt;0.9,"",E21/D21)</f>
        <v/>
      </c>
      <c r="G21" s="28" t="n">
        <v>107</v>
      </c>
      <c r="H21" s="28" t="n"/>
      <c r="I21" s="30" t="n"/>
      <c r="J21" s="28" t="n"/>
      <c r="K21" s="28" t="n"/>
      <c r="L21" s="28" t="inlineStr">
        <is>
          <t>BEST</t>
        </is>
      </c>
    </row>
    <row r="22">
      <c r="A22" s="8" t="inlineStr"/>
      <c r="B22" s="8" t="inlineStr"/>
      <c r="C22" s="8" t="n">
        <v>6</v>
      </c>
      <c r="D22" s="10" t="n">
        <v>1</v>
      </c>
      <c r="E22" s="13" t="n">
        <v>0.01878472222222222</v>
      </c>
      <c r="F22" s="12">
        <f>IF(D22&lt;0.9,"",E22/D22)</f>
        <v/>
      </c>
      <c r="G22" s="8" t="n">
        <v>127</v>
      </c>
      <c r="H22" s="8" t="n"/>
      <c r="I22" s="10" t="n"/>
      <c r="J22" s="8" t="n"/>
      <c r="K22" s="8" t="n"/>
      <c r="L22" s="8" t="inlineStr"/>
    </row>
    <row r="23">
      <c r="A23" s="8" t="inlineStr"/>
      <c r="B23" s="8" t="inlineStr"/>
      <c r="C23" s="8" t="n">
        <v>7</v>
      </c>
      <c r="D23" s="10" t="n">
        <v>1</v>
      </c>
      <c r="E23" s="13" t="n">
        <v>0.03583333333333334</v>
      </c>
      <c r="F23" s="12">
        <f>IF(D23&lt;0.9,"",E23/D23)</f>
        <v/>
      </c>
      <c r="G23" s="8" t="n">
        <v>122</v>
      </c>
      <c r="H23" s="8" t="n"/>
      <c r="I23" s="10" t="n"/>
      <c r="J23" s="8" t="n"/>
      <c r="K23" s="8" t="n"/>
      <c r="L23" s="8" t="inlineStr"/>
    </row>
    <row r="24">
      <c r="A24" s="8" t="inlineStr"/>
      <c r="B24" s="8" t="inlineStr"/>
      <c r="C24" s="8" t="n">
        <v>8</v>
      </c>
      <c r="D24" s="10" t="n">
        <v>1</v>
      </c>
      <c r="E24" s="13" t="n">
        <v>0.02708333333333333</v>
      </c>
      <c r="F24" s="12">
        <f>IF(D24&lt;0.9,"",E24/D24)</f>
        <v/>
      </c>
      <c r="G24" s="8" t="n">
        <v>116</v>
      </c>
      <c r="H24" s="8" t="n"/>
      <c r="I24" s="10" t="n"/>
      <c r="J24" s="8" t="n"/>
      <c r="K24" s="8" t="n"/>
      <c r="L24" s="8" t="inlineStr"/>
    </row>
    <row r="25">
      <c r="A25" s="8" t="inlineStr"/>
      <c r="B25" s="8" t="inlineStr"/>
      <c r="C25" s="8" t="n">
        <v>9</v>
      </c>
      <c r="D25" s="10" t="n">
        <v>0.13</v>
      </c>
      <c r="E25" s="13" t="n">
        <v>0.002407407407407408</v>
      </c>
      <c r="F25" s="12">
        <f>IF(D25&lt;0.9,"",E25/D25)</f>
        <v/>
      </c>
      <c r="G25" s="8" t="n">
        <v>123</v>
      </c>
      <c r="H25" s="8" t="n"/>
      <c r="I25" s="10" t="n"/>
      <c r="J25" s="8" t="n"/>
      <c r="K25" s="8" t="n"/>
      <c r="L25" s="8" t="inlineStr"/>
    </row>
    <row r="26">
      <c r="A26" s="8" t="inlineStr">
        <is>
          <t>01/09/2026</t>
        </is>
      </c>
      <c r="B26" s="8" t="inlineStr">
        <is>
          <t>Central Jakarta Run</t>
        </is>
      </c>
      <c r="C26" s="8" t="n">
        <v>1</v>
      </c>
      <c r="D26" s="10" t="n">
        <v>1</v>
      </c>
      <c r="E26" s="13" t="n">
        <v>0.005902777777777778</v>
      </c>
      <c r="F26" s="12">
        <f>IF(D26&lt;0.9,"",E26/D26)</f>
        <v/>
      </c>
      <c r="G26" s="8" t="n">
        <v>148</v>
      </c>
      <c r="H26" s="8" t="n">
        <v>157</v>
      </c>
      <c r="I26" s="10" t="n"/>
      <c r="J26" s="8" t="n"/>
      <c r="K26" s="8" t="n">
        <v>147</v>
      </c>
      <c r="L26" s="8" t="inlineStr"/>
    </row>
    <row r="27">
      <c r="A27" s="8" t="inlineStr"/>
      <c r="B27" s="8" t="inlineStr"/>
      <c r="C27" s="8" t="n">
        <v>2</v>
      </c>
      <c r="D27" s="10" t="n">
        <v>1</v>
      </c>
      <c r="E27" s="13" t="n">
        <v>0.006284722222222222</v>
      </c>
      <c r="F27" s="12">
        <f>IF(D27&lt;0.9,"",E27/D27)</f>
        <v/>
      </c>
      <c r="G27" s="8" t="n">
        <v>150</v>
      </c>
      <c r="H27" s="8" t="n">
        <v>156</v>
      </c>
      <c r="I27" s="10" t="n"/>
      <c r="J27" s="8" t="n"/>
      <c r="K27" s="8" t="n">
        <v>145</v>
      </c>
      <c r="L27" s="8" t="inlineStr"/>
    </row>
    <row r="28">
      <c r="A28" s="28" t="inlineStr"/>
      <c r="B28" s="28" t="inlineStr"/>
      <c r="C28" s="28" t="n">
        <v>3</v>
      </c>
      <c r="D28" s="30" t="n">
        <v>1</v>
      </c>
      <c r="E28" s="33" t="n">
        <v>0.005752314814814815</v>
      </c>
      <c r="F28" s="32">
        <f>IF(D28&lt;0.9,"",E28/D28)</f>
        <v/>
      </c>
      <c r="G28" s="28" t="n">
        <v>156</v>
      </c>
      <c r="H28" s="28" t="n">
        <v>163</v>
      </c>
      <c r="I28" s="30" t="n"/>
      <c r="J28" s="28" t="n"/>
      <c r="K28" s="28" t="n">
        <v>157</v>
      </c>
      <c r="L28" s="28" t="inlineStr">
        <is>
          <t>BEST</t>
        </is>
      </c>
    </row>
    <row r="29">
      <c r="A29" s="8" t="inlineStr"/>
      <c r="B29" s="8" t="inlineStr"/>
      <c r="C29" s="8" t="n">
        <v>4</v>
      </c>
      <c r="D29" s="10" t="n">
        <v>1</v>
      </c>
      <c r="E29" s="13" t="n">
        <v>0.006539351851851852</v>
      </c>
      <c r="F29" s="12">
        <f>IF(D29&lt;0.9,"",E29/D29)</f>
        <v/>
      </c>
      <c r="G29" s="8" t="n">
        <v>151</v>
      </c>
      <c r="H29" s="8" t="n">
        <v>149</v>
      </c>
      <c r="I29" s="10" t="n"/>
      <c r="J29" s="8" t="n"/>
      <c r="K29" s="8" t="n">
        <v>137</v>
      </c>
      <c r="L29" s="8" t="inlineStr"/>
    </row>
    <row r="30">
      <c r="A30" s="8" t="inlineStr"/>
      <c r="B30" s="8" t="inlineStr"/>
      <c r="C30" s="8" t="n">
        <v>5</v>
      </c>
      <c r="D30" s="10" t="n">
        <v>1</v>
      </c>
      <c r="E30" s="13" t="n">
        <v>0.007476851851851852</v>
      </c>
      <c r="F30" s="12">
        <f>IF(D30&lt;0.9,"",E30/D30)</f>
        <v/>
      </c>
      <c r="G30" s="8" t="n">
        <v>143</v>
      </c>
      <c r="H30" s="8" t="n">
        <v>138</v>
      </c>
      <c r="I30" s="10" t="n"/>
      <c r="J30" s="8" t="n"/>
      <c r="K30" s="8" t="n">
        <v>130</v>
      </c>
      <c r="L30" s="8" t="inlineStr"/>
    </row>
    <row r="31">
      <c r="A31" s="8" t="inlineStr"/>
      <c r="B31" s="8" t="inlineStr"/>
      <c r="C31" s="8" t="n">
        <v>6</v>
      </c>
      <c r="D31" s="10" t="n">
        <v>0.01</v>
      </c>
      <c r="E31" s="13" t="n">
        <v>6.944444444444444e-05</v>
      </c>
      <c r="F31" s="12">
        <f>IF(D31&lt;0.9,"",E31/D31)</f>
        <v/>
      </c>
      <c r="G31" s="8" t="n">
        <v>155</v>
      </c>
      <c r="H31" s="8" t="n">
        <v>150</v>
      </c>
      <c r="I31" s="10" t="n"/>
      <c r="J31" s="8" t="n"/>
      <c r="K31" s="8" t="n">
        <v>157</v>
      </c>
      <c r="L31" s="8" t="inlineStr"/>
    </row>
    <row r="32">
      <c r="A32" s="8" t="inlineStr">
        <is>
          <t>03/09/2026</t>
        </is>
      </c>
      <c r="B32" s="8" t="inlineStr">
        <is>
          <t>Jakarta Run</t>
        </is>
      </c>
      <c r="C32" s="8" t="n">
        <v>1</v>
      </c>
      <c r="D32" s="10" t="n">
        <v>1</v>
      </c>
      <c r="E32" s="13" t="n">
        <v>0.006273148148148148</v>
      </c>
      <c r="F32" s="12">
        <f>IF(D32&lt;0.9,"",E32/D32)</f>
        <v/>
      </c>
      <c r="G32" s="8" t="n">
        <v>143</v>
      </c>
      <c r="H32" s="8" t="n">
        <v>169</v>
      </c>
      <c r="I32" s="10" t="n"/>
      <c r="J32" s="8" t="n"/>
      <c r="K32" s="8" t="n">
        <v>139</v>
      </c>
      <c r="L32" s="8" t="inlineStr"/>
    </row>
    <row r="33">
      <c r="A33" s="8" t="inlineStr"/>
      <c r="B33" s="8" t="inlineStr"/>
      <c r="C33" s="8" t="n">
        <v>2</v>
      </c>
      <c r="D33" s="10" t="n">
        <v>1</v>
      </c>
      <c r="E33" s="13" t="n">
        <v>0.005775462962962963</v>
      </c>
      <c r="F33" s="12">
        <f>IF(D33&lt;0.9,"",E33/D33)</f>
        <v/>
      </c>
      <c r="G33" s="8" t="n">
        <v>158</v>
      </c>
      <c r="H33" s="8" t="n">
        <v>173</v>
      </c>
      <c r="I33" s="10" t="n"/>
      <c r="J33" s="8" t="n"/>
      <c r="K33" s="8" t="n">
        <v>150</v>
      </c>
      <c r="L33" s="8" t="inlineStr"/>
    </row>
    <row r="34">
      <c r="A34" s="8" t="inlineStr"/>
      <c r="B34" s="8" t="inlineStr"/>
      <c r="C34" s="8" t="n">
        <v>3</v>
      </c>
      <c r="D34" s="10" t="n">
        <v>1</v>
      </c>
      <c r="E34" s="13" t="n">
        <v>0.005891203703703704</v>
      </c>
      <c r="F34" s="12">
        <f>IF(D34&lt;0.9,"",E34/D34)</f>
        <v/>
      </c>
      <c r="G34" s="8" t="n">
        <v>160</v>
      </c>
      <c r="H34" s="8" t="n">
        <v>168</v>
      </c>
      <c r="I34" s="10" t="n"/>
      <c r="J34" s="8" t="n"/>
      <c r="K34" s="8" t="n">
        <v>147</v>
      </c>
      <c r="L34" s="8" t="inlineStr"/>
    </row>
    <row r="35">
      <c r="A35" s="8" t="inlineStr"/>
      <c r="B35" s="8" t="inlineStr"/>
      <c r="C35" s="8" t="n">
        <v>4</v>
      </c>
      <c r="D35" s="10" t="n">
        <v>1</v>
      </c>
      <c r="E35" s="13" t="n">
        <v>0.006018518518518519</v>
      </c>
      <c r="F35" s="12">
        <f>IF(D35&lt;0.9,"",E35/D35)</f>
        <v/>
      </c>
      <c r="G35" s="8" t="n">
        <v>162</v>
      </c>
      <c r="H35" s="8" t="n">
        <v>167</v>
      </c>
      <c r="I35" s="10" t="n"/>
      <c r="J35" s="8" t="n"/>
      <c r="K35" s="8" t="n">
        <v>155</v>
      </c>
      <c r="L35" s="8" t="inlineStr"/>
    </row>
    <row r="36">
      <c r="A36" s="28" t="inlineStr"/>
      <c r="B36" s="28" t="inlineStr"/>
      <c r="C36" s="28" t="n">
        <v>5</v>
      </c>
      <c r="D36" s="30" t="n">
        <v>1</v>
      </c>
      <c r="E36" s="33" t="n">
        <v>0.005520833333333333</v>
      </c>
      <c r="F36" s="32">
        <f>IF(D36&lt;0.9,"",E36/D36)</f>
        <v/>
      </c>
      <c r="G36" s="28" t="n">
        <v>164</v>
      </c>
      <c r="H36" s="28" t="n">
        <v>166</v>
      </c>
      <c r="I36" s="30" t="n"/>
      <c r="J36" s="28" t="n"/>
      <c r="K36" s="28" t="n">
        <v>161</v>
      </c>
      <c r="L36" s="28" t="inlineStr">
        <is>
          <t>BEST</t>
        </is>
      </c>
    </row>
    <row r="37">
      <c r="A37" s="8" t="inlineStr"/>
      <c r="B37" s="8" t="inlineStr"/>
      <c r="C37" s="8" t="n">
        <v>6</v>
      </c>
      <c r="D37" s="10" t="n">
        <v>0.03</v>
      </c>
      <c r="E37" s="13" t="n">
        <v>0.0001851851851851852</v>
      </c>
      <c r="F37" s="12">
        <f>IF(D37&lt;0.9,"",E37/D37)</f>
        <v/>
      </c>
      <c r="G37" s="8" t="n">
        <v>167</v>
      </c>
      <c r="H37" s="8" t="n">
        <v>168</v>
      </c>
      <c r="I37" s="10" t="n"/>
      <c r="J37" s="8" t="n"/>
      <c r="K37" s="8" t="n">
        <v>157</v>
      </c>
      <c r="L37" s="8" t="inlineStr"/>
    </row>
    <row r="38">
      <c r="A38" s="28" t="inlineStr">
        <is>
          <t>06/09/2026</t>
        </is>
      </c>
      <c r="B38" s="28" t="inlineStr">
        <is>
          <t>Jakarta Run</t>
        </is>
      </c>
      <c r="C38" s="28" t="n">
        <v>1</v>
      </c>
      <c r="D38" s="30" t="n">
        <v>1</v>
      </c>
      <c r="E38" s="33" t="n">
        <v>0.005717592592592593</v>
      </c>
      <c r="F38" s="32">
        <f>IF(D38&lt;0.9,"",E38/D38)</f>
        <v/>
      </c>
      <c r="G38" s="28" t="n">
        <v>147</v>
      </c>
      <c r="H38" s="28" t="n">
        <v>164</v>
      </c>
      <c r="I38" s="30" t="n"/>
      <c r="J38" s="28" t="n"/>
      <c r="K38" s="28" t="n">
        <v>151</v>
      </c>
      <c r="L38" s="28" t="inlineStr">
        <is>
          <t>BEST</t>
        </is>
      </c>
    </row>
    <row r="39">
      <c r="A39" s="8" t="inlineStr"/>
      <c r="B39" s="8" t="inlineStr"/>
      <c r="C39" s="8" t="n">
        <v>2</v>
      </c>
      <c r="D39" s="10" t="n">
        <v>1</v>
      </c>
      <c r="E39" s="13" t="n">
        <v>0.0059375</v>
      </c>
      <c r="F39" s="12">
        <f>IF(D39&lt;0.9,"",E39/D39)</f>
        <v/>
      </c>
      <c r="G39" s="8" t="n">
        <v>160</v>
      </c>
      <c r="H39" s="8" t="n">
        <v>170</v>
      </c>
      <c r="I39" s="10" t="n"/>
      <c r="J39" s="8" t="n"/>
      <c r="K39" s="8" t="n">
        <v>158</v>
      </c>
      <c r="L39" s="8" t="inlineStr"/>
    </row>
    <row r="40">
      <c r="A40" s="8" t="inlineStr"/>
      <c r="B40" s="8" t="inlineStr"/>
      <c r="C40" s="8" t="n">
        <v>3</v>
      </c>
      <c r="D40" s="10" t="n">
        <v>1</v>
      </c>
      <c r="E40" s="13" t="n">
        <v>0.006006944444444444</v>
      </c>
      <c r="F40" s="12">
        <f>IF(D40&lt;0.9,"",E40/D40)</f>
        <v/>
      </c>
      <c r="G40" s="8" t="n">
        <v>161</v>
      </c>
      <c r="H40" s="8" t="n">
        <v>168</v>
      </c>
      <c r="I40" s="10" t="n"/>
      <c r="J40" s="8" t="n"/>
      <c r="K40" s="8" t="n">
        <v>149</v>
      </c>
      <c r="L40" s="8" t="inlineStr"/>
    </row>
    <row r="41">
      <c r="A41" s="8" t="inlineStr"/>
      <c r="B41" s="8" t="inlineStr"/>
      <c r="C41" s="8" t="n">
        <v>4</v>
      </c>
      <c r="D41" s="10" t="n">
        <v>1</v>
      </c>
      <c r="E41" s="13" t="n">
        <v>0.006122685185185185</v>
      </c>
      <c r="F41" s="12">
        <f>IF(D41&lt;0.9,"",E41/D41)</f>
        <v/>
      </c>
      <c r="G41" s="8" t="n">
        <v>161</v>
      </c>
      <c r="H41" s="8" t="n">
        <v>168</v>
      </c>
      <c r="I41" s="10" t="n"/>
      <c r="J41" s="8" t="n"/>
      <c r="K41" s="8" t="n">
        <v>146</v>
      </c>
      <c r="L41" s="8" t="inlineStr"/>
    </row>
    <row r="42">
      <c r="A42" s="8" t="inlineStr"/>
      <c r="B42" s="8" t="inlineStr"/>
      <c r="C42" s="8" t="n">
        <v>5</v>
      </c>
      <c r="D42" s="10" t="n">
        <v>1</v>
      </c>
      <c r="E42" s="13" t="n">
        <v>0.005925925925925926</v>
      </c>
      <c r="F42" s="12">
        <f>IF(D42&lt;0.9,"",E42/D42)</f>
        <v/>
      </c>
      <c r="G42" s="8" t="n">
        <v>164</v>
      </c>
      <c r="H42" s="8" t="n">
        <v>166</v>
      </c>
      <c r="I42" s="10" t="n"/>
      <c r="J42" s="8" t="n"/>
      <c r="K42" s="8" t="n">
        <v>149</v>
      </c>
      <c r="L42" s="8" t="inlineStr"/>
    </row>
    <row r="43">
      <c r="A43" s="8" t="inlineStr"/>
      <c r="B43" s="8" t="inlineStr"/>
      <c r="C43" s="8" t="n">
        <v>6</v>
      </c>
      <c r="D43" s="10" t="n">
        <v>0.03</v>
      </c>
      <c r="E43" s="13" t="n">
        <v>0.0002777777777777778</v>
      </c>
      <c r="F43" s="12">
        <f>IF(D43&lt;0.9,"",E43/D43)</f>
        <v/>
      </c>
      <c r="G43" s="8" t="n">
        <v>167</v>
      </c>
      <c r="H43" s="8" t="n">
        <v>154</v>
      </c>
      <c r="I43" s="10" t="n"/>
      <c r="J43" s="8" t="n"/>
      <c r="K43" s="8" t="n">
        <v>146</v>
      </c>
      <c r="L43" s="8" t="inlineStr"/>
    </row>
    <row r="44">
      <c r="A44" s="8" t="inlineStr">
        <is>
          <t>10/09/2026</t>
        </is>
      </c>
      <c r="B44" s="8" t="inlineStr">
        <is>
          <t>Jakarta SCR Run</t>
        </is>
      </c>
      <c r="C44" s="8" t="n">
        <v>1</v>
      </c>
      <c r="D44" s="10" t="n">
        <v>1</v>
      </c>
      <c r="E44" s="13" t="n">
        <v>0.006203703703703703</v>
      </c>
      <c r="F44" s="12">
        <f>IF(D44&lt;0.9,"",E44/D44)</f>
        <v/>
      </c>
      <c r="G44" s="8" t="n">
        <v>148</v>
      </c>
      <c r="H44" s="8" t="n">
        <v>159</v>
      </c>
      <c r="I44" s="10" t="n"/>
      <c r="J44" s="8" t="n"/>
      <c r="K44" s="8" t="n">
        <v>142</v>
      </c>
      <c r="L44" s="8" t="inlineStr"/>
    </row>
    <row r="45">
      <c r="A45" s="8" t="inlineStr"/>
      <c r="B45" s="8" t="inlineStr"/>
      <c r="C45" s="8" t="n">
        <v>2</v>
      </c>
      <c r="D45" s="10" t="n">
        <v>1</v>
      </c>
      <c r="E45" s="13" t="n">
        <v>0.006064814814814815</v>
      </c>
      <c r="F45" s="12">
        <f>IF(D45&lt;0.9,"",E45/D45)</f>
        <v/>
      </c>
      <c r="G45" s="8" t="n">
        <v>159</v>
      </c>
      <c r="H45" s="8" t="n">
        <v>164</v>
      </c>
      <c r="I45" s="10" t="n"/>
      <c r="J45" s="8" t="n"/>
      <c r="K45" s="8" t="n">
        <v>150</v>
      </c>
      <c r="L45" s="8" t="inlineStr"/>
    </row>
    <row r="46">
      <c r="A46" s="28" t="inlineStr"/>
      <c r="B46" s="28" t="inlineStr"/>
      <c r="C46" s="28" t="n">
        <v>3</v>
      </c>
      <c r="D46" s="30" t="n">
        <v>1</v>
      </c>
      <c r="E46" s="33" t="n">
        <v>0.005775462962962963</v>
      </c>
      <c r="F46" s="32">
        <f>IF(D46&lt;0.9,"",E46/D46)</f>
        <v/>
      </c>
      <c r="G46" s="28" t="n">
        <v>163</v>
      </c>
      <c r="H46" s="28" t="n">
        <v>165</v>
      </c>
      <c r="I46" s="30" t="n"/>
      <c r="J46" s="28" t="n"/>
      <c r="K46" s="28" t="n">
        <v>153</v>
      </c>
      <c r="L46" s="28" t="inlineStr">
        <is>
          <t>BEST</t>
        </is>
      </c>
    </row>
    <row r="47">
      <c r="A47" s="8" t="inlineStr"/>
      <c r="B47" s="8" t="inlineStr"/>
      <c r="C47" s="8" t="n">
        <v>4</v>
      </c>
      <c r="D47" s="10" t="n">
        <v>1</v>
      </c>
      <c r="E47" s="13" t="n">
        <v>0.005960648148148148</v>
      </c>
      <c r="F47" s="12">
        <f>IF(D47&lt;0.9,"",E47/D47)</f>
        <v/>
      </c>
      <c r="G47" s="8" t="n">
        <v>164</v>
      </c>
      <c r="H47" s="8" t="n">
        <v>163</v>
      </c>
      <c r="I47" s="10" t="n"/>
      <c r="J47" s="8" t="n"/>
      <c r="K47" s="8" t="n">
        <v>151</v>
      </c>
      <c r="L47" s="8" t="inlineStr"/>
    </row>
    <row r="48">
      <c r="A48" s="8" t="inlineStr"/>
      <c r="B48" s="8" t="inlineStr"/>
      <c r="C48" s="8" t="n">
        <v>5</v>
      </c>
      <c r="D48" s="10" t="n">
        <v>1</v>
      </c>
      <c r="E48" s="13" t="n">
        <v>0.006018518518518519</v>
      </c>
      <c r="F48" s="12">
        <f>IF(D48&lt;0.9,"",E48/D48)</f>
        <v/>
      </c>
      <c r="G48" s="8" t="n">
        <v>161</v>
      </c>
      <c r="H48" s="8" t="n">
        <v>157</v>
      </c>
      <c r="I48" s="10" t="n"/>
      <c r="J48" s="8" t="n"/>
      <c r="K48" s="8" t="n">
        <v>145</v>
      </c>
      <c r="L48" s="8" t="inlineStr"/>
    </row>
    <row r="49">
      <c r="A49" s="8" t="inlineStr"/>
      <c r="B49" s="8" t="inlineStr"/>
      <c r="C49" s="8" t="n">
        <v>6</v>
      </c>
      <c r="D49" s="10" t="n">
        <v>0.02</v>
      </c>
      <c r="E49" s="13" t="n">
        <v>0.0001388888888888889</v>
      </c>
      <c r="F49" s="12">
        <f>IF(D49&lt;0.9,"",E49/D49)</f>
        <v/>
      </c>
      <c r="G49" s="8" t="n">
        <v>162</v>
      </c>
      <c r="H49" s="8" t="n">
        <v>160</v>
      </c>
      <c r="I49" s="10" t="n"/>
      <c r="J49" s="8" t="n"/>
      <c r="K49" s="8" t="n">
        <v>154</v>
      </c>
      <c r="L49" s="8" t="inlineStr"/>
    </row>
    <row r="50">
      <c r="A50" s="8" t="inlineStr">
        <is>
          <t>14/09/2026</t>
        </is>
      </c>
      <c r="B50" s="8" t="inlineStr">
        <is>
          <t>Jakarta Run</t>
        </is>
      </c>
      <c r="C50" s="8" t="n">
        <v>1</v>
      </c>
      <c r="D50" s="10" t="n">
        <v>1</v>
      </c>
      <c r="E50" s="13" t="n">
        <v>0.005856481481481482</v>
      </c>
      <c r="F50" s="12">
        <f>IF(D50&lt;0.9,"",E50/D50)</f>
        <v/>
      </c>
      <c r="G50" s="8" t="n">
        <v>143</v>
      </c>
      <c r="H50" s="8" t="n">
        <v>165</v>
      </c>
      <c r="I50" s="10" t="n"/>
      <c r="J50" s="8" t="n"/>
      <c r="K50" s="8" t="n">
        <v>148</v>
      </c>
      <c r="L50" s="8" t="inlineStr"/>
    </row>
    <row r="51">
      <c r="A51" s="8" t="inlineStr"/>
      <c r="B51" s="8" t="inlineStr"/>
      <c r="C51" s="8" t="n">
        <v>2</v>
      </c>
      <c r="D51" s="10" t="n">
        <v>1</v>
      </c>
      <c r="E51" s="13" t="n">
        <v>0.005567129629629629</v>
      </c>
      <c r="F51" s="12">
        <f>IF(D51&lt;0.9,"",E51/D51)</f>
        <v/>
      </c>
      <c r="G51" s="8" t="n">
        <v>158</v>
      </c>
      <c r="H51" s="8" t="n">
        <v>171</v>
      </c>
      <c r="I51" s="10" t="n"/>
      <c r="J51" s="8" t="n"/>
      <c r="K51" s="8" t="n">
        <v>160</v>
      </c>
      <c r="L51" s="8" t="inlineStr"/>
    </row>
    <row r="52">
      <c r="A52" s="8" t="inlineStr"/>
      <c r="B52" s="8" t="inlineStr"/>
      <c r="C52" s="8" t="n">
        <v>3</v>
      </c>
      <c r="D52" s="10" t="n">
        <v>1</v>
      </c>
      <c r="E52" s="13" t="n">
        <v>0.005671296296296297</v>
      </c>
      <c r="F52" s="12">
        <f>IF(D52&lt;0.9,"",E52/D52)</f>
        <v/>
      </c>
      <c r="G52" s="8" t="n">
        <v>161</v>
      </c>
      <c r="H52" s="8" t="n">
        <v>168</v>
      </c>
      <c r="I52" s="10" t="n"/>
      <c r="J52" s="8" t="n"/>
      <c r="K52" s="8" t="n">
        <v>156</v>
      </c>
      <c r="L52" s="8" t="inlineStr"/>
    </row>
    <row r="53">
      <c r="A53" s="28" t="inlineStr"/>
      <c r="B53" s="28" t="inlineStr"/>
      <c r="C53" s="28" t="n">
        <v>4</v>
      </c>
      <c r="D53" s="30" t="n">
        <v>1</v>
      </c>
      <c r="E53" s="33" t="n">
        <v>0.005023148148148148</v>
      </c>
      <c r="F53" s="32">
        <f>IF(D53&lt;0.9,"",E53/D53)</f>
        <v/>
      </c>
      <c r="G53" s="28" t="n">
        <v>163</v>
      </c>
      <c r="H53" s="28" t="n">
        <v>168</v>
      </c>
      <c r="I53" s="30" t="n"/>
      <c r="J53" s="28" t="n"/>
      <c r="K53" s="28" t="n">
        <v>170</v>
      </c>
      <c r="L53" s="28" t="inlineStr">
        <is>
          <t>BEST</t>
        </is>
      </c>
    </row>
    <row r="54">
      <c r="A54" s="8" t="inlineStr"/>
      <c r="B54" s="8" t="inlineStr"/>
      <c r="C54" s="8" t="n">
        <v>5</v>
      </c>
      <c r="D54" s="10" t="n">
        <v>1</v>
      </c>
      <c r="E54" s="13" t="n">
        <v>0.005625</v>
      </c>
      <c r="F54" s="12">
        <f>IF(D54&lt;0.9,"",E54/D54)</f>
        <v/>
      </c>
      <c r="G54" s="8" t="n">
        <v>162</v>
      </c>
      <c r="H54" s="8" t="n">
        <v>161</v>
      </c>
      <c r="I54" s="10" t="n"/>
      <c r="J54" s="8" t="n"/>
      <c r="K54" s="8" t="n">
        <v>156</v>
      </c>
      <c r="L54" s="8" t="inlineStr"/>
    </row>
    <row r="55">
      <c r="A55" s="8" t="inlineStr"/>
      <c r="B55" s="8" t="inlineStr"/>
      <c r="C55" s="8" t="n">
        <v>6</v>
      </c>
      <c r="D55" s="10" t="n">
        <v>0.01</v>
      </c>
      <c r="E55" s="13" t="n">
        <v>4.629629629629629e-05</v>
      </c>
      <c r="F55" s="12">
        <f>IF(D55&lt;0.9,"",E55/D55)</f>
        <v/>
      </c>
      <c r="G55" s="8" t="n">
        <v>168</v>
      </c>
      <c r="H55" s="8" t="n">
        <v>166</v>
      </c>
      <c r="I55" s="10" t="n"/>
      <c r="J55" s="8" t="n"/>
      <c r="K55" s="8" t="n">
        <v>173</v>
      </c>
      <c r="L55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58" customWidth="1" min="4" max="4"/>
    <col width="11" customWidth="1" min="5" max="5"/>
    <col width="10" customWidth="1" min="6" max="6"/>
  </cols>
  <sheetData>
    <row r="1">
      <c r="A1" s="6" t="inlineStr">
        <is>
          <t>Kesiapan GTR Ultra 30K - Dalam Angka</t>
        </is>
      </c>
    </row>
    <row r="2">
      <c r="A2" s="2" t="inlineStr">
        <is>
          <t>Kolom 'Punya sekarang' ditarik otomatis dari tab Komparatif. Bobot di sel kuning boleh diubah.</t>
        </is>
      </c>
    </row>
    <row r="4">
      <c r="A4" s="49" t="inlineStr">
        <is>
          <t>PROFIL LOMBA</t>
        </is>
      </c>
      <c r="B4" s="50" t="n"/>
      <c r="C4" s="50" t="n"/>
      <c r="D4" s="50" t="n"/>
      <c r="E4" s="50" t="n"/>
      <c r="F4" s="50" t="n"/>
    </row>
    <row r="5">
      <c r="A5" s="41" t="inlineStr">
        <is>
          <t>Jarak (km)</t>
        </is>
      </c>
      <c r="B5" s="55" t="n">
        <v>30</v>
      </c>
      <c r="C5" s="2" t="inlineStr"/>
    </row>
    <row r="6">
      <c r="A6" s="41" t="inlineStr">
        <is>
          <t>Elevation gain (m)</t>
        </is>
      </c>
      <c r="B6" s="55" t="n">
        <v>1800</v>
      </c>
      <c r="C6" s="2" t="inlineStr"/>
    </row>
    <row r="7">
      <c r="A7" s="41" t="inlineStr">
        <is>
          <t>Flat-equivalent (km)</t>
        </is>
      </c>
      <c r="B7" s="42">
        <f>B5+B6/100</f>
        <v/>
      </c>
      <c r="C7" s="2" t="inlineStr">
        <is>
          <t>Naismith: 100 m tanjakan = 1 km datar</t>
        </is>
      </c>
    </row>
    <row r="8">
      <c r="A8" s="41" t="inlineStr">
        <is>
          <t>Cut-off time</t>
        </is>
      </c>
      <c r="B8" s="56" t="n">
        <v>0.4166666666666667</v>
      </c>
      <c r="C8" s="2" t="inlineStr">
        <is>
          <t>Jam</t>
        </is>
      </c>
    </row>
    <row r="9">
      <c r="A9" s="41" t="inlineStr">
        <is>
          <t>Water station</t>
        </is>
      </c>
      <c r="B9" s="8" t="inlineStr">
        <is>
          <t>4-5</t>
        </is>
      </c>
      <c r="C9" s="2" t="inlineStr">
        <is>
          <t>titik, jarak antar titik 5-8 km</t>
        </is>
      </c>
    </row>
    <row r="11">
      <c r="A11" s="49" t="inlineStr">
        <is>
          <t>SKOR KESIAPAN</t>
        </is>
      </c>
      <c r="B11" s="50" t="n"/>
      <c r="C11" s="50" t="n"/>
      <c r="D11" s="50" t="n"/>
      <c r="E11" s="50" t="n"/>
      <c r="F11" s="50" t="n"/>
    </row>
    <row r="12" ht="30" customHeight="1">
      <c r="A12" s="7" t="inlineStr">
        <is>
          <t>Dimensi</t>
        </is>
      </c>
      <c r="B12" s="7" t="inlineStr">
        <is>
          <t>Punya sekarang</t>
        </is>
      </c>
      <c r="C12" s="7" t="inlineStr">
        <is>
          <t>Butuh untuk lomba</t>
        </is>
      </c>
      <c r="D12" s="7" t="inlineStr">
        <is>
          <t>Kesiapan</t>
        </is>
      </c>
      <c r="E12" s="7" t="inlineStr">
        <is>
          <t>Bobot</t>
        </is>
      </c>
      <c r="F12" s="7" t="inlineStr">
        <is>
          <t>Keterangan</t>
        </is>
      </c>
    </row>
    <row r="13">
      <c r="A13" s="41" t="inlineStr">
        <is>
          <t>Jarak lari terjauh (km)</t>
        </is>
      </c>
      <c r="B13" s="45">
        <f>MAX(Komparatif!AI5:AI22)</f>
        <v/>
      </c>
      <c r="C13" s="45">
        <f>B5</f>
        <v/>
      </c>
      <c r="D13" s="44">
        <f>IF(C13=0,0,MIN(1,B13/C13))</f>
        <v/>
      </c>
      <c r="E13" s="57" t="n">
        <v>0.3</v>
      </c>
      <c r="F13" s="8" t="inlineStr">
        <is>
          <t>Lari jalanan terjauh: 18 Agu. Lomba 4,7x lebih jauh.</t>
        </is>
      </c>
    </row>
    <row r="14">
      <c r="A14" s="41" t="inlineStr">
        <is>
          <t>Elevation gain terbesar (m)</t>
        </is>
      </c>
      <c r="B14" s="43">
        <f>MAX(Komparatif!AA5:AA22)</f>
        <v/>
      </c>
      <c r="C14" s="43">
        <f>B6</f>
        <v/>
      </c>
      <c r="D14" s="44">
        <f>IF(C14=0,0,MIN(1,B14/C14))</f>
        <v/>
      </c>
      <c r="E14" s="57" t="n">
        <v>0.3</v>
      </c>
      <c r="F14" s="8" t="inlineStr">
        <is>
          <t>Hiking Wonosobo 30 Agu. Lomba 3,5x lebih tinggi.</t>
        </is>
      </c>
    </row>
    <row r="15">
      <c r="A15" s="41" t="inlineStr">
        <is>
          <t>Waktu di kaki terlama (jam)</t>
        </is>
      </c>
      <c r="B15" s="45">
        <f>MAX(Komparatif!AJ5:AJ22)*24</f>
        <v/>
      </c>
      <c r="C15" s="45" t="n">
        <v>9.029999999999999</v>
      </c>
      <c r="D15" s="44">
        <f>IF(C15=0,0,MIN(1,B15/C15))</f>
        <v/>
      </c>
      <c r="E15" s="57" t="n">
        <v>0.25</v>
      </c>
      <c r="F15" s="8" t="inlineStr">
        <is>
          <t>Wonosobo 30 Agu, total waktu di lintasan. Dimensi terkuatmu.</t>
        </is>
      </c>
    </row>
    <row r="16">
      <c r="A16" s="58" t="inlineStr">
        <is>
          <t>Jumlah sesi trail</t>
        </is>
      </c>
      <c r="B16" s="59">
        <f>COUNTIFS(Komparatif!$F$5:$F$22,"Trail")</f>
        <v/>
      </c>
      <c r="C16" s="59" t="n">
        <v>8</v>
      </c>
      <c r="D16" s="60">
        <f>IF(C16=0,0,MIN(1,B16/C16))</f>
        <v/>
      </c>
      <c r="E16" s="57" t="n">
        <v>0.15</v>
      </c>
      <c r="F16" s="61" t="inlineStr">
        <is>
          <t>Nol. Semua 15 sesi lari berlangsung di aspal Jakarta yang datar.</t>
        </is>
      </c>
    </row>
    <row r="17">
      <c r="A17" s="62" t="inlineStr">
        <is>
          <t>SKOR GABUNGAN</t>
        </is>
      </c>
      <c r="B17" s="63" t="n"/>
      <c r="C17" s="63" t="n"/>
      <c r="D17" s="64">
        <f>SUMPRODUCT(D13:D16,E13:E16)</f>
        <v/>
      </c>
      <c r="E17" s="65">
        <f>SUM(E13:E16)</f>
        <v/>
      </c>
      <c r="F17" s="66" t="inlineStr">
        <is>
          <t>Bobot boleh diubah di sel kuning; skor gabungan ikut menyesuaikan.</t>
        </is>
      </c>
    </row>
    <row r="19">
      <c r="A19" s="49" t="inlineStr">
        <is>
          <t>YANG SUDAH KUAT  (bukan pembatas)</t>
        </is>
      </c>
      <c r="B19" s="50" t="n"/>
      <c r="C19" s="50" t="n"/>
      <c r="D19" s="50" t="n"/>
      <c r="E19" s="50" t="n"/>
      <c r="F19" s="50" t="n"/>
    </row>
    <row r="20" ht="30" customHeight="1">
      <c r="A20" s="7" t="inlineStr">
        <is>
          <t>Metrik</t>
        </is>
      </c>
      <c r="B20" s="7" t="inlineStr">
        <is>
          <t>Nilai</t>
        </is>
      </c>
      <c r="C20" s="7" t="inlineStr">
        <is>
          <t>Sesi</t>
        </is>
      </c>
      <c r="D20" s="7" t="inlineStr">
        <is>
          <t>Baca</t>
        </is>
      </c>
      <c r="E20" s="7" t="inlineStr"/>
      <c r="F20" s="7" t="inlineStr"/>
    </row>
    <row r="21">
      <c r="A21" s="41" t="inlineStr">
        <is>
          <t>PR 5K</t>
        </is>
      </c>
      <c r="B21" s="54">
        <f>Komparatif!I22</f>
        <v/>
      </c>
      <c r="C21" s="8" t="inlineStr">
        <is>
          <t>14 Sep</t>
        </is>
      </c>
      <c r="D21" s="8" t="inlineStr">
        <is>
          <t>Turun 22 menit dari 21 Juli.</t>
        </is>
      </c>
    </row>
    <row r="22">
      <c r="A22" s="41" t="inlineStr">
        <is>
          <t>Pace 5K terbaik</t>
        </is>
      </c>
      <c r="B22" s="46">
        <f>Komparatif!J22</f>
        <v/>
      </c>
      <c r="C22" s="8" t="inlineStr">
        <is>
          <t>14 Sep</t>
        </is>
      </c>
      <c r="D22" s="8" t="inlineStr">
        <is>
          <t>8:00/km - flat-equivalent 48 km jadi lebih terjangkau.</t>
        </is>
      </c>
    </row>
    <row r="23">
      <c r="A23" s="41" t="inlineStr">
        <is>
          <t>Cadence</t>
        </is>
      </c>
      <c r="B23" s="43">
        <f>Komparatif!Q22</f>
        <v/>
      </c>
      <c r="C23" s="8" t="inlineStr">
        <is>
          <t>14 Sep</t>
        </is>
      </c>
      <c r="D23" s="8" t="inlineStr">
        <is>
          <t>167 spm, stabil di 161-168 sejak 26 Agu.</t>
        </is>
      </c>
    </row>
    <row r="24">
      <c r="A24" s="41" t="inlineStr">
        <is>
          <t>Stride</t>
        </is>
      </c>
      <c r="B24" s="47">
        <f>Komparatif!T22</f>
        <v/>
      </c>
      <c r="C24" s="8" t="inlineStr">
        <is>
          <t>14 Sep</t>
        </is>
      </c>
      <c r="D24" s="8" t="inlineStr">
        <is>
          <t>0,750 m - baru pecah dari plateau dua bulan.</t>
        </is>
      </c>
    </row>
    <row r="25">
      <c r="A25" s="41" t="inlineStr">
        <is>
          <t>Waktu di kaki</t>
        </is>
      </c>
      <c r="B25" s="54">
        <f>MAX(Komparatif!AJ5:AJ22)</f>
        <v/>
      </c>
      <c r="C25" s="8" t="inlineStr">
        <is>
          <t>30 Agu</t>
        </is>
      </c>
      <c r="D25" s="8" t="inlineStr">
        <is>
          <t>6,5 jam di lintasan - modal nyata untuk lomba 9 jam.</t>
        </is>
      </c>
    </row>
    <row r="27">
      <c r="A27" s="49" t="inlineStr">
        <is>
          <t>KESIMPULAN</t>
        </is>
      </c>
      <c r="B27" s="50" t="n"/>
      <c r="C27" s="50" t="n"/>
      <c r="D27" s="50" t="n"/>
      <c r="E27" s="50" t="n"/>
      <c r="F27" s="50" t="n"/>
    </row>
    <row r="28" ht="28" customHeight="1">
      <c r="A28" s="4" t="inlineStr">
        <is>
          <t>-  Kecepatan 5K bukan pembatasmu - dan memperbaikinya lagi hampir tidak memindahkan proyeksi GTR.</t>
        </is>
      </c>
    </row>
    <row r="29" ht="28" customHeight="1">
      <c r="A29" s="4" t="inlineStr">
        <is>
          <t>-  Di skenario B, tanjakan memakan 5 jam 9 menit dari 8 jam 39 menit waktu bergerak. Yang menentukan adalah VAM (laju mendaki), bukan pace datar.</t>
        </is>
      </c>
    </row>
    <row r="30" ht="28" customHeight="1">
      <c r="A30" s="4" t="inlineStr">
        <is>
          <t>-  Tiga dimensi pembatas - jarak, elevasi, dan pengalaman trail - tidak bergerak sama sekali sejak Juli.</t>
        </is>
      </c>
    </row>
    <row r="31" ht="28" customHeight="1">
      <c r="A31" s="4" t="inlineStr">
        <is>
          <t>-  Lima sesi terakhir semuanya 5K aspal. Untuk GTR, saat ini kamu melatih dimensi yang bukan pembatasnya.</t>
        </is>
      </c>
    </row>
    <row r="32" ht="28" customHeight="1">
      <c r="A32" s="4" t="inlineStr">
        <is>
          <t>-  ACWR 0,57 berarti tubuh sedang punya ruang menerima beban. Ini momen paling tepat memulai minggu 1 program 16 minggu.</t>
        </is>
      </c>
    </row>
  </sheetData>
  <mergeCells count="5">
    <mergeCell ref="A28:F28"/>
    <mergeCell ref="A32:F32"/>
    <mergeCell ref="A31:F31"/>
    <mergeCell ref="A30:F30"/>
    <mergeCell ref="A29:F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50" customWidth="1" min="9" max="9"/>
  </cols>
  <sheetData>
    <row r="1">
      <c r="A1" s="6" t="inlineStr">
        <is>
          <t>Proyeksi Waktu Finis &amp; Strategi Lomba</t>
        </is>
      </c>
    </row>
    <row r="2">
      <c r="A2" s="2" t="inlineStr">
        <is>
          <t>Sel kuning adalah input - ubah untuk melihat dampaknya pada waktu finis.</t>
        </is>
      </c>
    </row>
    <row r="4">
      <c r="A4" s="49" t="inlineStr">
        <is>
          <t>ASUMSI PROFIL LINTASAN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</row>
    <row r="5">
      <c r="A5" s="41" t="inlineStr">
        <is>
          <t>Total jarak (km)</t>
        </is>
      </c>
      <c r="B5" s="67" t="n">
        <v>30</v>
      </c>
    </row>
    <row r="6">
      <c r="A6" s="41" t="inlineStr">
        <is>
          <t>Total elevation gain (m)</t>
        </is>
      </c>
      <c r="B6" s="67" t="n">
        <v>1800</v>
      </c>
    </row>
    <row r="7">
      <c r="A7" s="41" t="inlineStr">
        <is>
          <t>Jarak menanjak (km)</t>
        </is>
      </c>
      <c r="B7" s="67" t="n">
        <v>10</v>
      </c>
    </row>
    <row r="8">
      <c r="A8" s="41" t="inlineStr">
        <is>
          <t>Jarak menurun (km)</t>
        </is>
      </c>
      <c r="B8" s="67" t="n">
        <v>10</v>
      </c>
    </row>
    <row r="9">
      <c r="A9" s="41" t="inlineStr">
        <is>
          <t>Jarak datar / rolling (km)</t>
        </is>
      </c>
      <c r="B9" s="67" t="n">
        <v>10</v>
      </c>
    </row>
    <row r="10">
      <c r="A10" s="41" t="inlineStr">
        <is>
          <t>COT (jam)</t>
        </is>
      </c>
      <c r="B10" s="67" t="n">
        <v>10</v>
      </c>
    </row>
    <row r="11">
      <c r="A11" s="2" t="inlineStr">
        <is>
          <t>Profil resmi lomba belum tersedia - pembagian 10/10/10 km adalah asumsi.</t>
        </is>
      </c>
    </row>
    <row r="13">
      <c r="A13" s="49" t="inlineStr">
        <is>
          <t>TIGA SKENARIO</t>
        </is>
      </c>
      <c r="B13" s="50" t="n"/>
      <c r="C13" s="50" t="n"/>
      <c r="D13" s="50" t="n"/>
      <c r="E13" s="50" t="n"/>
      <c r="F13" s="50" t="n"/>
      <c r="G13" s="50" t="n"/>
      <c r="H13" s="50" t="n"/>
      <c r="I13" s="50" t="n"/>
    </row>
    <row r="14" ht="30" customHeight="1">
      <c r="A14" s="7" t="inlineStr">
        <is>
          <t>Skenario</t>
        </is>
      </c>
      <c r="B14" s="7" t="inlineStr">
        <is>
          <t>VAM (m/jam)</t>
        </is>
      </c>
      <c r="C14" s="7" t="inlineStr">
        <is>
          <t>Pace turun /km</t>
        </is>
      </c>
      <c r="D14" s="7" t="inlineStr">
        <is>
          <t>Pace datar /km</t>
        </is>
      </c>
      <c r="E14" s="7" t="inlineStr">
        <is>
          <t>Waktu tanjakan</t>
        </is>
      </c>
      <c r="F14" s="7" t="inlineStr">
        <is>
          <t>Waktu turun</t>
        </is>
      </c>
      <c r="G14" s="7" t="inlineStr">
        <is>
          <t>Waktu datar</t>
        </is>
      </c>
      <c r="H14" s="7" t="inlineStr">
        <is>
          <t>Total + WS</t>
        </is>
      </c>
      <c r="I14" s="7" t="inlineStr">
        <is>
          <t>Margin COT</t>
        </is>
      </c>
    </row>
    <row r="15">
      <c r="A15" s="41" t="inlineStr">
        <is>
          <t>A - tanpa perubahan latihan</t>
        </is>
      </c>
      <c r="B15" s="67" t="n">
        <v>280</v>
      </c>
      <c r="C15" s="68" t="n">
        <v>0.00798611111111111</v>
      </c>
      <c r="D15" s="68" t="n">
        <v>0.008680555555555556</v>
      </c>
      <c r="E15" s="54">
        <f>$B$6/B15/24</f>
        <v/>
      </c>
      <c r="F15" s="54">
        <f>C15*$B$8</f>
        <v/>
      </c>
      <c r="G15" s="54">
        <f>D15*$B$9</f>
        <v/>
      </c>
      <c r="H15" s="69">
        <f>E15+F15+G15+34/1440</f>
        <v/>
      </c>
      <c r="I15" s="70">
        <f>($B$10/24-H15)*1440</f>
        <v/>
      </c>
    </row>
    <row r="16">
      <c r="A16" s="71" t="inlineStr">
        <is>
          <t>B - realistis (target)</t>
        </is>
      </c>
      <c r="B16" s="67" t="n">
        <v>350</v>
      </c>
      <c r="C16" s="68" t="n">
        <v>0.006944444444444444</v>
      </c>
      <c r="D16" s="68" t="n">
        <v>0.007638888888888889</v>
      </c>
      <c r="E16" s="72">
        <f>$B$6/B16/24</f>
        <v/>
      </c>
      <c r="F16" s="72">
        <f>C16*$B$8</f>
        <v/>
      </c>
      <c r="G16" s="72">
        <f>D16*$B$9</f>
        <v/>
      </c>
      <c r="H16" s="73">
        <f>E16+F16+G16+23/1440</f>
        <v/>
      </c>
      <c r="I16" s="74">
        <f>($B$10/24-H16)*1440</f>
        <v/>
      </c>
    </row>
    <row r="17">
      <c r="A17" s="41" t="inlineStr">
        <is>
          <t>C - optimal</t>
        </is>
      </c>
      <c r="B17" s="67" t="n">
        <v>430</v>
      </c>
      <c r="C17" s="68" t="n">
        <v>0.006076388888888889</v>
      </c>
      <c r="D17" s="68" t="n">
        <v>0.006597222222222222</v>
      </c>
      <c r="E17" s="54">
        <f>$B$6/B17/24</f>
        <v/>
      </c>
      <c r="F17" s="54">
        <f>C17*$B$8</f>
        <v/>
      </c>
      <c r="G17" s="54">
        <f>D17*$B$9</f>
        <v/>
      </c>
      <c r="H17" s="69">
        <f>E17+F17+G17+18/1440</f>
        <v/>
      </c>
      <c r="I17" s="75">
        <f>($B$10/24-H17)*1440</f>
        <v/>
      </c>
    </row>
    <row r="18">
      <c r="A18" s="2" t="inlineStr">
        <is>
          <t>Waktu berhenti di WS sudah termasuk di kolom Total: A = 34 menit, B = 23 menit, C = 18 menit.</t>
        </is>
      </c>
    </row>
    <row r="19">
      <c r="A19" s="2" t="inlineStr">
        <is>
          <t>VAM dasar diambil dari lap mendaki Wonosobo: 215-250 m/jam pada HR 108-125.</t>
        </is>
      </c>
    </row>
    <row r="21">
      <c r="A21" s="49" t="inlineStr">
        <is>
          <t>RENCANA WATER STATION  (skenario B)</t>
        </is>
      </c>
      <c r="B21" s="50" t="n"/>
      <c r="C21" s="50" t="n"/>
      <c r="D21" s="50" t="n"/>
      <c r="E21" s="50" t="n"/>
      <c r="F21" s="50" t="n"/>
      <c r="G21" s="50" t="n"/>
      <c r="H21" s="50" t="n"/>
      <c r="I21" s="50" t="n"/>
    </row>
    <row r="22" ht="30" customHeight="1">
      <c r="A22" s="7" t="inlineStr">
        <is>
          <t>Titik</t>
        </is>
      </c>
      <c r="B22" s="7" t="inlineStr">
        <is>
          <t>KM</t>
        </is>
      </c>
      <c r="C22" s="7" t="inlineStr">
        <is>
          <t>Tiba</t>
        </is>
      </c>
      <c r="D22" s="7" t="inlineStr">
        <is>
          <t>Berhenti (mnt)</t>
        </is>
      </c>
      <c r="E22" s="7" t="inlineStr">
        <is>
          <t>Berangkat</t>
        </is>
      </c>
      <c r="F22" s="7" t="inlineStr">
        <is>
          <t>Batas mundur</t>
        </is>
      </c>
      <c r="G22" s="7" t="inlineStr">
        <is>
          <t>Minum (L)</t>
        </is>
      </c>
      <c r="H22" s="7" t="inlineStr">
        <is>
          <t>Kalori</t>
        </is>
      </c>
      <c r="I22" s="7" t="inlineStr">
        <is>
          <t>Aksi</t>
        </is>
      </c>
    </row>
    <row r="23">
      <c r="A23" s="41" t="inlineStr">
        <is>
          <t>WS 1</t>
        </is>
      </c>
      <c r="B23" s="8" t="n">
        <v>6</v>
      </c>
      <c r="C23" s="54" t="n">
        <v>0.06458333333333334</v>
      </c>
      <c r="D23" s="8" t="n">
        <v>3</v>
      </c>
      <c r="E23" s="54">
        <f>IF(D23=0,"",C23+D23/1440)</f>
        <v/>
      </c>
      <c r="F23" s="76" t="n">
        <v>0.0763888888888889</v>
      </c>
      <c r="G23" s="45" t="n">
        <v>0.9</v>
      </c>
      <c r="H23" s="8" t="n">
        <v>350</v>
      </c>
      <c r="I23" s="8" t="inlineStr">
        <is>
          <t>Isi botol, 1 gel</t>
        </is>
      </c>
    </row>
    <row r="24">
      <c r="A24" s="41" t="inlineStr">
        <is>
          <t>WS 2</t>
        </is>
      </c>
      <c r="B24" s="8" t="n">
        <v>12</v>
      </c>
      <c r="C24" s="54" t="n">
        <v>0.1375</v>
      </c>
      <c r="D24" s="8" t="n">
        <v>5</v>
      </c>
      <c r="E24" s="54">
        <f>IF(D24=0,"",C24+D24/1440)</f>
        <v/>
      </c>
      <c r="F24" s="76" t="n">
        <v>0.1597222222222222</v>
      </c>
      <c r="G24" s="45" t="n">
        <v>1</v>
      </c>
      <c r="H24" s="8" t="n">
        <v>400</v>
      </c>
      <c r="I24" s="8" t="inlineStr">
        <is>
          <t>Makan padat + elektrolit</t>
        </is>
      </c>
    </row>
    <row r="25">
      <c r="A25" s="41" t="inlineStr">
        <is>
          <t>WS 3</t>
        </is>
      </c>
      <c r="B25" s="8" t="n">
        <v>18</v>
      </c>
      <c r="C25" s="54" t="n">
        <v>0.2159722222222222</v>
      </c>
      <c r="D25" s="8" t="n">
        <v>6</v>
      </c>
      <c r="E25" s="54">
        <f>IF(D25=0,"",C25+D25/1440)</f>
        <v/>
      </c>
      <c r="F25" s="76" t="n">
        <v>0.2430555555555556</v>
      </c>
      <c r="G25" s="45" t="n">
        <v>1.1</v>
      </c>
      <c r="H25" s="8" t="n">
        <v>450</v>
      </c>
      <c r="I25" s="8" t="inlineStr">
        <is>
          <t>Titik kritis - makan penuh, cek kaki</t>
        </is>
      </c>
    </row>
    <row r="26">
      <c r="A26" s="41" t="inlineStr">
        <is>
          <t>WS 4</t>
        </is>
      </c>
      <c r="B26" s="8" t="n">
        <v>24</v>
      </c>
      <c r="C26" s="54" t="n">
        <v>0.2972222222222222</v>
      </c>
      <c r="D26" s="8" t="n">
        <v>6</v>
      </c>
      <c r="E26" s="54">
        <f>IF(D26=0,"",C26+D26/1440)</f>
        <v/>
      </c>
      <c r="F26" s="76" t="n">
        <v>0.3263888888888889</v>
      </c>
      <c r="G26" s="45" t="n">
        <v>1.1</v>
      </c>
      <c r="H26" s="8" t="n">
        <v>450</v>
      </c>
      <c r="I26" s="8" t="inlineStr">
        <is>
          <t>Isi penuh terakhir</t>
        </is>
      </c>
    </row>
    <row r="27">
      <c r="A27" s="41" t="inlineStr">
        <is>
          <t>WS 5</t>
        </is>
      </c>
      <c r="B27" s="8" t="n">
        <v>28</v>
      </c>
      <c r="C27" s="54" t="n">
        <v>0.35</v>
      </c>
      <c r="D27" s="8" t="n">
        <v>3</v>
      </c>
      <c r="E27" s="54">
        <f>IF(D27=0,"",C27+D27/1440)</f>
        <v/>
      </c>
      <c r="F27" s="76" t="n">
        <v>0.3819444444444444</v>
      </c>
      <c r="G27" s="45" t="n">
        <v>0.7</v>
      </c>
      <c r="H27" s="8" t="n">
        <v>290</v>
      </c>
      <c r="I27" s="8" t="inlineStr">
        <is>
          <t>Top-up saja, jangan lama</t>
        </is>
      </c>
    </row>
    <row r="28">
      <c r="A28" s="71" t="inlineStr">
        <is>
          <t>Finish</t>
        </is>
      </c>
      <c r="B28" s="28" t="n">
        <v>30</v>
      </c>
      <c r="C28" s="72" t="n">
        <v>0.3763888888888889</v>
      </c>
      <c r="D28" s="8" t="n">
        <v>0</v>
      </c>
      <c r="E28" s="72">
        <f>IF(D28=0,"",C28+D28/1440)</f>
        <v/>
      </c>
      <c r="F28" s="76" t="n">
        <v>0.4166666666666667</v>
      </c>
      <c r="G28" s="77" t="n">
        <v>0.35</v>
      </c>
      <c r="H28" s="28" t="n">
        <v>150</v>
      </c>
      <c r="I28" s="28" t="inlineStr">
        <is>
          <t>-</t>
        </is>
      </c>
    </row>
    <row r="29">
      <c r="A29" s="38" t="inlineStr">
        <is>
          <t>TOTAL</t>
        </is>
      </c>
      <c r="D29" s="38">
        <f>SUM(D23:D28)</f>
        <v/>
      </c>
      <c r="G29" s="78">
        <f>SUM(G23:G28)</f>
        <v/>
      </c>
      <c r="H29" s="63">
        <f>SUM(H23:H28)</f>
        <v/>
      </c>
    </row>
    <row r="31">
      <c r="A31" s="2" t="inlineStr">
        <is>
          <t>Batas mundur = jam maksimum berangkat dari titik itu agar COT masih terkejar.</t>
        </is>
      </c>
    </row>
    <row r="32">
      <c r="A32" s="2" t="inlineStr">
        <is>
          <t>Logistik diturunkan dari sweat rate sesi sendiri (950 ml/jam pada 31 C) dan kalori Wonosobo (304 kkal/jam).</t>
        </is>
      </c>
    </row>
    <row r="33">
      <c r="A33" s="79" t="inlineStr">
        <is>
          <t>PERINGATAN: proyeksi ini ekstrapolasi 4,7x di luar lari terjauh dan 3,5x di luar elevasi terbesar. Rentang error lebar.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2026-09-17T04:04:25Z</dcterms:created>
  <dcterms:modified xmlns:dcterms="http://purl.org/dc/terms/" xmlns:xsi="http://www.w3.org/2001/XMLSchema-instance" xsi:type="dcterms:W3CDTF">2026-09-17T04:04:25Z</dcterms:modified>
</cp:coreProperties>
</file>