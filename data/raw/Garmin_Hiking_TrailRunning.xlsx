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ingkasan" sheetId="1" state="visible" r:id="rId3"/>
    <sheet name="Detail Lap" sheetId="2" state="visible" r:id="rId4"/>
    <sheet name="Time in Zones" sheetId="3" state="visible" r:id="rId5"/>
    <sheet name="Power Zones" sheetId="4" state="visible" r:id="rId6"/>
    <sheet name="Analisis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<sst xmlns="http://schemas.openxmlformats.org/spreadsheetml/2006/main" count="1865" uniqueCount="694">
  <si>
    <t xml:space="preserve">Garmin Connect — Hiking &amp; Trail Running (25 aktivitas)</t>
  </si>
  <si>
    <t xml:space="preserve">Sumber: Garmin Connect, ditarik 17 September 2026. Satuan asli akun imperial (mi/ft/°F); kolom metrik hasil konversi. 'Avg Pace 0 /mi' memang begitu di Garmin untuk aktivitas hiking — bukan data hilang.</t>
  </si>
  <si>
    <t xml:space="preserve">No</t>
  </si>
  <si>
    <t xml:space="preserve">Tanggal</t>
  </si>
  <si>
    <t xml:space="preserve">Jam</t>
  </si>
  <si>
    <t xml:space="preserve">Nama Aktivitas</t>
  </si>
  <si>
    <t xml:space="preserve">Tipe</t>
  </si>
  <si>
    <t xml:space="preserve">Jarak (km)</t>
  </si>
  <si>
    <t xml:space="preserve">Jarak (mi)</t>
  </si>
  <si>
    <t xml:space="preserve">Waktu</t>
  </si>
  <si>
    <t xml:space="preserve">Moving Time</t>
  </si>
  <si>
    <t xml:space="preserve">Elapsed</t>
  </si>
  <si>
    <t xml:space="preserve">Avg Pace (asli)</t>
  </si>
  <si>
    <t xml:space="preserve">Avg Moving Pace /km</t>
  </si>
  <si>
    <t xml:space="preserve">Best Pace /km</t>
  </si>
  <si>
    <t xml:space="preserve">Avg HR</t>
  </si>
  <si>
    <t xml:space="preserve">Max HR</t>
  </si>
  <si>
    <t xml:space="preserve">Ascent (m)</t>
  </si>
  <si>
    <t xml:space="preserve">Descent (m)</t>
  </si>
  <si>
    <t xml:space="preserve">Min Elev (m)</t>
  </si>
  <si>
    <t xml:space="preserve">Max Elev (m)</t>
  </si>
  <si>
    <t xml:space="preserve">Avg Cadence</t>
  </si>
  <si>
    <t xml:space="preserve">Max Cadence</t>
  </si>
  <si>
    <t xml:space="preserve">Avg Power (W)</t>
  </si>
  <si>
    <t xml:space="preserve">Kalori</t>
  </si>
  <si>
    <t xml:space="preserve">Aerobic TE</t>
  </si>
  <si>
    <t xml:space="preserve">Anaerobic TE</t>
  </si>
  <si>
    <t xml:space="preserve">Avg Temp (°C)</t>
  </si>
  <si>
    <t xml:space="preserve">Intensity Min</t>
  </si>
  <si>
    <t xml:space="preserve">Body Battery</t>
  </si>
  <si>
    <t xml:space="preserve">Self Eval</t>
  </si>
  <si>
    <t xml:space="preserve">Perceived Effort</t>
  </si>
  <si>
    <t xml:space="preserve">2025-01-24</t>
  </si>
  <si>
    <t xml:space="preserve">11:21 AM</t>
  </si>
  <si>
    <t xml:space="preserve">Kerinci Hiking</t>
  </si>
  <si>
    <t xml:space="preserve">HIKING</t>
  </si>
  <si>
    <t xml:space="preserve">0 /mi</t>
  </si>
  <si>
    <t xml:space="preserve">5.0 Overreaching</t>
  </si>
  <si>
    <t xml:space="preserve">1.1 Some Benefit</t>
  </si>
  <si>
    <t xml:space="preserve">2025-01-25</t>
  </si>
  <si>
    <t xml:space="preserve">10:15 AM</t>
  </si>
  <si>
    <t xml:space="preserve">1.0 Some Benefit</t>
  </si>
  <si>
    <t xml:space="preserve">2025-01-26</t>
  </si>
  <si>
    <t xml:space="preserve">1:44 PM</t>
  </si>
  <si>
    <t xml:space="preserve">Hiking</t>
  </si>
  <si>
    <t xml:space="preserve">0.4 No Benefit</t>
  </si>
  <si>
    <t xml:space="preserve">0.0 No Benefit</t>
  </si>
  <si>
    <t xml:space="preserve">3:17 PM</t>
  </si>
  <si>
    <t xml:space="preserve">4.2 Highly Impacting</t>
  </si>
  <si>
    <t xml:space="preserve">7:06 PM</t>
  </si>
  <si>
    <t xml:space="preserve">4.0 Highly Impacting</t>
  </si>
  <si>
    <t xml:space="preserve">0.2 No Benefit</t>
  </si>
  <si>
    <t xml:space="preserve">2025-02-01</t>
  </si>
  <si>
    <t xml:space="preserve">10:58 AM</t>
  </si>
  <si>
    <t xml:space="preserve">Bogor Hiking</t>
  </si>
  <si>
    <t xml:space="preserve">55:46 /mi</t>
  </si>
  <si>
    <t xml:space="preserve">1.7 Some Benefit</t>
  </si>
  <si>
    <t xml:space="preserve">2025-04-05</t>
  </si>
  <si>
    <t xml:space="preserve">10:24 AM</t>
  </si>
  <si>
    <t xml:space="preserve">Purwakarta Hiking</t>
  </si>
  <si>
    <t xml:space="preserve">3.7 Impacting</t>
  </si>
  <si>
    <t xml:space="preserve">2.2 Maintaining</t>
  </si>
  <si>
    <t xml:space="preserve">2025-05-29</t>
  </si>
  <si>
    <t xml:space="preserve">9:50 AM</t>
  </si>
  <si>
    <t xml:space="preserve">Magelang Hiking</t>
  </si>
  <si>
    <t xml:space="preserve">2025-05-30</t>
  </si>
  <si>
    <t xml:space="preserve">10:53 AM</t>
  </si>
  <si>
    <t xml:space="preserve">4.5 Highly Impacting</t>
  </si>
  <si>
    <t xml:space="preserve">4:11 AM</t>
  </si>
  <si>
    <t xml:space="preserve">4.1 Highly Impacting</t>
  </si>
  <si>
    <t xml:space="preserve">1.9 Some Benefit</t>
  </si>
  <si>
    <t xml:space="preserve">8:05 AM</t>
  </si>
  <si>
    <t xml:space="preserve">3.1 Impacting</t>
  </si>
  <si>
    <t xml:space="preserve">2025-08-16</t>
  </si>
  <si>
    <t xml:space="preserve">Pemalang Hiking</t>
  </si>
  <si>
    <t xml:space="preserve">4.3 Highly Impacting</t>
  </si>
  <si>
    <t xml:space="preserve">2.4 Maintaining</t>
  </si>
  <si>
    <t xml:space="preserve">2025-08-17</t>
  </si>
  <si>
    <t xml:space="preserve">11:18 AM</t>
  </si>
  <si>
    <t xml:space="preserve">3.0 Impacting</t>
  </si>
  <si>
    <t xml:space="preserve">3:17 AM</t>
  </si>
  <si>
    <t xml:space="preserve">3.2 Impacting</t>
  </si>
  <si>
    <t xml:space="preserve">0.8 No Benefit</t>
  </si>
  <si>
    <t xml:space="preserve">7:12 AM</t>
  </si>
  <si>
    <t xml:space="preserve">0.3 No Benefit</t>
  </si>
  <si>
    <t xml:space="preserve">2025-12-20</t>
  </si>
  <si>
    <t xml:space="preserve">12:00 PM</t>
  </si>
  <si>
    <t xml:space="preserve">32:12 /mi</t>
  </si>
  <si>
    <t xml:space="preserve">3.4 Impacting</t>
  </si>
  <si>
    <t xml:space="preserve">8:33 AM</t>
  </si>
  <si>
    <t xml:space="preserve">35:57 /mi</t>
  </si>
  <si>
    <t xml:space="preserve">3.8 Impacting</t>
  </si>
  <si>
    <t xml:space="preserve">2025-12-27</t>
  </si>
  <si>
    <t xml:space="preserve">4:54 PM</t>
  </si>
  <si>
    <t xml:space="preserve">29:04 /mi</t>
  </si>
  <si>
    <t xml:space="preserve">4.8 Highly Impacting</t>
  </si>
  <si>
    <t xml:space="preserve">2026-01-17</t>
  </si>
  <si>
    <t xml:space="preserve">7:43 AM</t>
  </si>
  <si>
    <t xml:space="preserve">Bogor - Easy Run</t>
  </si>
  <si>
    <t xml:space="preserve">TRAIL RUNNING</t>
  </si>
  <si>
    <t xml:space="preserve">51:29 /mi</t>
  </si>
  <si>
    <t xml:space="preserve">1.2 Some Benefit</t>
  </si>
  <si>
    <t xml:space="preserve">Very Strong</t>
  </si>
  <si>
    <t xml:space="preserve">8/10 Very Hard</t>
  </si>
  <si>
    <t xml:space="preserve">2026-01-23</t>
  </si>
  <si>
    <t xml:space="preserve">5:42 AM</t>
  </si>
  <si>
    <t xml:space="preserve">Bogor Trail Running</t>
  </si>
  <si>
    <t xml:space="preserve">23:40 /mi</t>
  </si>
  <si>
    <t xml:space="preserve">1/10 Very Light</t>
  </si>
  <si>
    <t xml:space="preserve">2026-04-11</t>
  </si>
  <si>
    <t xml:space="preserve">8:27 AM</t>
  </si>
  <si>
    <t xml:space="preserve">30:37 /mi</t>
  </si>
  <si>
    <t xml:space="preserve">0.1 No Benefit</t>
  </si>
  <si>
    <t xml:space="preserve">6/10 Hard</t>
  </si>
  <si>
    <t xml:space="preserve">2026-04-30</t>
  </si>
  <si>
    <t xml:space="preserve">8:07 PM</t>
  </si>
  <si>
    <t xml:space="preserve">24:43 /mi</t>
  </si>
  <si>
    <t xml:space="preserve">2.9 Maintaining</t>
  </si>
  <si>
    <t xml:space="preserve">4/10 Somewhat Hard</t>
  </si>
  <si>
    <t xml:space="preserve">2026-08-30</t>
  </si>
  <si>
    <t xml:space="preserve">10:49 AM</t>
  </si>
  <si>
    <t xml:space="preserve">Wonosobo Trail Running</t>
  </si>
  <si>
    <t xml:space="preserve">0.7 No Benefit</t>
  </si>
  <si>
    <t xml:space="preserve">Normal</t>
  </si>
  <si>
    <t xml:space="preserve">2026-09-05</t>
  </si>
  <si>
    <t xml:space="preserve">10:56 AM</t>
  </si>
  <si>
    <t xml:space="preserve">Wonosobo Hiking</t>
  </si>
  <si>
    <t xml:space="preserve">2.1 Maintaining</t>
  </si>
  <si>
    <t xml:space="preserve">2026-09-06</t>
  </si>
  <si>
    <t xml:space="preserve">1:33 PM</t>
  </si>
  <si>
    <t xml:space="preserve">TOTAL</t>
  </si>
  <si>
    <t xml:space="preserve">Kuning = Hiking · Biru = Trail Running</t>
  </si>
  <si>
    <t xml:space="preserve">Detail Lap / Interval per Aktivitas</t>
  </si>
  <si>
    <t xml:space="preserve">Baris Summary dari Garmin ikut disertakan dan ditandai. Aktivitas 17 Jan 2026 memakai tab Intervals (workout terstruktur), jadi punya kolom Step Type.</t>
  </si>
  <si>
    <t xml:space="preserve">Lap/Interval</t>
  </si>
  <si>
    <t xml:space="preserve">Step Type</t>
  </si>
  <si>
    <t xml:space="preserve">Cumulative</t>
  </si>
  <si>
    <t xml:space="preserve">Cadence</t>
  </si>
  <si>
    <t xml:space="preserve">Best Pace</t>
  </si>
  <si>
    <t xml:space="preserve">Avg Moving Pace</t>
  </si>
  <si>
    <t xml:space="preserve">1</t>
  </si>
  <si>
    <t xml:space="preserve">0</t>
  </si>
  <si>
    <t xml:space="preserve">149</t>
  </si>
  <si>
    <t xml:space="preserve">181</t>
  </si>
  <si>
    <t xml:space="preserve">7</t>
  </si>
  <si>
    <t xml:space="preserve">1402</t>
  </si>
  <si>
    <t xml:space="preserve">13:15</t>
  </si>
  <si>
    <t xml:space="preserve">8:41</t>
  </si>
  <si>
    <t xml:space="preserve">2</t>
  </si>
  <si>
    <t xml:space="preserve">118</t>
  </si>
  <si>
    <t xml:space="preserve">120</t>
  </si>
  <si>
    <t xml:space="preserve">3</t>
  </si>
  <si>
    <t xml:space="preserve">160</t>
  </si>
  <si>
    <t xml:space="preserve">236</t>
  </si>
  <si>
    <t xml:space="preserve">16:43</t>
  </si>
  <si>
    <t xml:space="preserve">6:51</t>
  </si>
  <si>
    <t xml:space="preserve">4</t>
  </si>
  <si>
    <t xml:space="preserve">45:56</t>
  </si>
  <si>
    <t xml:space="preserve">144</t>
  </si>
  <si>
    <t xml:space="preserve">163</t>
  </si>
  <si>
    <t xml:space="preserve">24</t>
  </si>
  <si>
    <t xml:space="preserve">422</t>
  </si>
  <si>
    <t xml:space="preserve">13:57</t>
  </si>
  <si>
    <t xml:space="preserve">24:22</t>
  </si>
  <si>
    <t xml:space="preserve">39:58</t>
  </si>
  <si>
    <t xml:space="preserve">156</t>
  </si>
  <si>
    <t xml:space="preserve">173</t>
  </si>
  <si>
    <t xml:space="preserve">10</t>
  </si>
  <si>
    <t xml:space="preserve">198</t>
  </si>
  <si>
    <t xml:space="preserve">14:27</t>
  </si>
  <si>
    <t xml:space="preserve">6:52</t>
  </si>
  <si>
    <t xml:space="preserve">153</t>
  </si>
  <si>
    <t xml:space="preserve">170</t>
  </si>
  <si>
    <t xml:space="preserve">619</t>
  </si>
  <si>
    <t xml:space="preserve">15:18</t>
  </si>
  <si>
    <t xml:space="preserve">5:54</t>
  </si>
  <si>
    <t xml:space="preserve">143</t>
  </si>
  <si>
    <t xml:space="preserve">169</t>
  </si>
  <si>
    <t xml:space="preserve">2303</t>
  </si>
  <si>
    <t xml:space="preserve">12:33</t>
  </si>
  <si>
    <t xml:space="preserve">1:22</t>
  </si>
  <si>
    <t xml:space="preserve">18:25</t>
  </si>
  <si>
    <t xml:space="preserve">27:46</t>
  </si>
  <si>
    <t xml:space="preserve">159</t>
  </si>
  <si>
    <t xml:space="preserve">1319</t>
  </si>
  <si>
    <t xml:space="preserve">15:48</t>
  </si>
  <si>
    <t xml:space="preserve">23:50</t>
  </si>
  <si>
    <t xml:space="preserve">142</t>
  </si>
  <si>
    <t xml:space="preserve">161</t>
  </si>
  <si>
    <t xml:space="preserve">5</t>
  </si>
  <si>
    <t xml:space="preserve">735</t>
  </si>
  <si>
    <t xml:space="preserve">9:15</t>
  </si>
  <si>
    <t xml:space="preserve">13:12</t>
  </si>
  <si>
    <t xml:space="preserve">55:46</t>
  </si>
  <si>
    <t xml:space="preserve">119</t>
  </si>
  <si>
    <t xml:space="preserve">150</t>
  </si>
  <si>
    <t xml:space="preserve">23</t>
  </si>
  <si>
    <t xml:space="preserve">456</t>
  </si>
  <si>
    <t xml:space="preserve">11:01</t>
  </si>
  <si>
    <t xml:space="preserve">15:02</t>
  </si>
  <si>
    <t xml:space="preserve">132</t>
  </si>
  <si>
    <t xml:space="preserve">171</t>
  </si>
  <si>
    <t xml:space="preserve">1353</t>
  </si>
  <si>
    <t xml:space="preserve">13:00</t>
  </si>
  <si>
    <t xml:space="preserve">8:24</t>
  </si>
  <si>
    <t xml:space="preserve">138</t>
  </si>
  <si>
    <t xml:space="preserve">174</t>
  </si>
  <si>
    <t xml:space="preserve">1454</t>
  </si>
  <si>
    <t xml:space="preserve">18:47</t>
  </si>
  <si>
    <t xml:space="preserve">4:22</t>
  </si>
  <si>
    <t xml:space="preserve">136</t>
  </si>
  <si>
    <t xml:space="preserve">137</t>
  </si>
  <si>
    <t xml:space="preserve">165</t>
  </si>
  <si>
    <t xml:space="preserve">8</t>
  </si>
  <si>
    <t xml:space="preserve">963</t>
  </si>
  <si>
    <t xml:space="preserve">15:42</t>
  </si>
  <si>
    <t xml:space="preserve">5:25</t>
  </si>
  <si>
    <t xml:space="preserve">147</t>
  </si>
  <si>
    <t xml:space="preserve">25</t>
  </si>
  <si>
    <t xml:space="preserve">614</t>
  </si>
  <si>
    <t xml:space="preserve">13:04</t>
  </si>
  <si>
    <t xml:space="preserve">13:47</t>
  </si>
  <si>
    <t xml:space="preserve">135</t>
  </si>
  <si>
    <t xml:space="preserve">157</t>
  </si>
  <si>
    <t xml:space="preserve">16</t>
  </si>
  <si>
    <t xml:space="preserve">757</t>
  </si>
  <si>
    <t xml:space="preserve">12:17</t>
  </si>
  <si>
    <t xml:space="preserve">12:55</t>
  </si>
  <si>
    <t xml:space="preserve">961</t>
  </si>
  <si>
    <t xml:space="preserve">4:35</t>
  </si>
  <si>
    <t xml:space="preserve">139</t>
  </si>
  <si>
    <t xml:space="preserve">155</t>
  </si>
  <si>
    <t xml:space="preserve">21</t>
  </si>
  <si>
    <t xml:space="preserve">410</t>
  </si>
  <si>
    <t xml:space="preserve">10:03</t>
  </si>
  <si>
    <t xml:space="preserve">21:14</t>
  </si>
  <si>
    <t xml:space="preserve">131</t>
  </si>
  <si>
    <t xml:space="preserve">1677</t>
  </si>
  <si>
    <t xml:space="preserve">5:49</t>
  </si>
  <si>
    <t xml:space="preserve">145</t>
  </si>
  <si>
    <t xml:space="preserve">20</t>
  </si>
  <si>
    <t xml:space="preserve">784</t>
  </si>
  <si>
    <t xml:space="preserve">15:03</t>
  </si>
  <si>
    <t xml:space="preserve">11:46</t>
  </si>
  <si>
    <t xml:space="preserve">130</t>
  </si>
  <si>
    <t xml:space="preserve">1073</t>
  </si>
  <si>
    <t xml:space="preserve">14:59</t>
  </si>
  <si>
    <t xml:space="preserve">3:20</t>
  </si>
  <si>
    <t xml:space="preserve">127</t>
  </si>
  <si>
    <t xml:space="preserve">12</t>
  </si>
  <si>
    <t xml:space="preserve">604</t>
  </si>
  <si>
    <t xml:space="preserve">11:53</t>
  </si>
  <si>
    <t xml:space="preserve">9:05</t>
  </si>
  <si>
    <t xml:space="preserve">32:12</t>
  </si>
  <si>
    <t xml:space="preserve">134</t>
  </si>
  <si>
    <t xml:space="preserve">76</t>
  </si>
  <si>
    <t xml:space="preserve">791</t>
  </si>
  <si>
    <t xml:space="preserve">24:32</t>
  </si>
  <si>
    <t xml:space="preserve">35:57</t>
  </si>
  <si>
    <t xml:space="preserve">55</t>
  </si>
  <si>
    <t xml:space="preserve">903</t>
  </si>
  <si>
    <t xml:space="preserve">13:53</t>
  </si>
  <si>
    <t xml:space="preserve">23:54</t>
  </si>
  <si>
    <t xml:space="preserve">29:04</t>
  </si>
  <si>
    <t xml:space="preserve">71</t>
  </si>
  <si>
    <t xml:space="preserve">1517</t>
  </si>
  <si>
    <t xml:space="preserve">10:18</t>
  </si>
  <si>
    <t xml:space="preserve">20:07</t>
  </si>
  <si>
    <t xml:space="preserve">Warm Up</t>
  </si>
  <si>
    <t xml:space="preserve">28:10</t>
  </si>
  <si>
    <t xml:space="preserve">91</t>
  </si>
  <si>
    <t xml:space="preserve">66</t>
  </si>
  <si>
    <t xml:space="preserve">26</t>
  </si>
  <si>
    <t xml:space="preserve">8:11</t>
  </si>
  <si>
    <t xml:space="preserve">Run</t>
  </si>
  <si>
    <t xml:space="preserve">38:56</t>
  </si>
  <si>
    <t xml:space="preserve">164</t>
  </si>
  <si>
    <t xml:space="preserve">39</t>
  </si>
  <si>
    <t xml:space="preserve">84</t>
  </si>
  <si>
    <t xml:space="preserve">17:06</t>
  </si>
  <si>
    <t xml:space="preserve">152</t>
  </si>
  <si>
    <t xml:space="preserve">50</t>
  </si>
  <si>
    <t xml:space="preserve">95</t>
  </si>
  <si>
    <t xml:space="preserve">23:11</t>
  </si>
  <si>
    <t xml:space="preserve">4 - 19</t>
  </si>
  <si>
    <t xml:space="preserve">Cool Down</t>
  </si>
  <si>
    <t xml:space="preserve">52:05</t>
  </si>
  <si>
    <t xml:space="preserve">33</t>
  </si>
  <si>
    <t xml:space="preserve">34</t>
  </si>
  <si>
    <t xml:space="preserve">2,542</t>
  </si>
  <si>
    <t xml:space="preserve">10:05</t>
  </si>
  <si>
    <t xml:space="preserve">43</t>
  </si>
  <si>
    <t xml:space="preserve">44</t>
  </si>
  <si>
    <t xml:space="preserve">22:28</t>
  </si>
  <si>
    <t xml:space="preserve">29</t>
  </si>
  <si>
    <t xml:space="preserve">15</t>
  </si>
  <si>
    <t xml:space="preserve">329</t>
  </si>
  <si>
    <t xml:space="preserve">18:19</t>
  </si>
  <si>
    <t xml:space="preserve">6</t>
  </si>
  <si>
    <t xml:space="preserve">133</t>
  </si>
  <si>
    <t xml:space="preserve">9</t>
  </si>
  <si>
    <t xml:space="preserve">246</t>
  </si>
  <si>
    <t xml:space="preserve">10:46</t>
  </si>
  <si>
    <t xml:space="preserve">45:00</t>
  </si>
  <si>
    <t xml:space="preserve">61</t>
  </si>
  <si>
    <t xml:space="preserve">189</t>
  </si>
  <si>
    <t xml:space="preserve">16:31</t>
  </si>
  <si>
    <t xml:space="preserve">45:09</t>
  </si>
  <si>
    <t xml:space="preserve">167</t>
  </si>
  <si>
    <t xml:space="preserve">53</t>
  </si>
  <si>
    <t xml:space="preserve">162</t>
  </si>
  <si>
    <t xml:space="preserve">42:43</t>
  </si>
  <si>
    <t xml:space="preserve">45</t>
  </si>
  <si>
    <t xml:space="preserve">122</t>
  </si>
  <si>
    <t xml:space="preserve">14:14</t>
  </si>
  <si>
    <t xml:space="preserve">51:47</t>
  </si>
  <si>
    <t xml:space="preserve">36</t>
  </si>
  <si>
    <t xml:space="preserve">11</t>
  </si>
  <si>
    <t xml:space="preserve">168</t>
  </si>
  <si>
    <t xml:space="preserve">27</t>
  </si>
  <si>
    <t xml:space="preserve">256</t>
  </si>
  <si>
    <t xml:space="preserve">59:52</t>
  </si>
  <si>
    <t xml:space="preserve">250</t>
  </si>
  <si>
    <t xml:space="preserve">15:27</t>
  </si>
  <si>
    <t xml:space="preserve">13</t>
  </si>
  <si>
    <t xml:space="preserve">44:29</t>
  </si>
  <si>
    <t xml:space="preserve">154</t>
  </si>
  <si>
    <t xml:space="preserve">226</t>
  </si>
  <si>
    <t xml:space="preserve">12:50</t>
  </si>
  <si>
    <t xml:space="preserve">14</t>
  </si>
  <si>
    <t xml:space="preserve">50:08</t>
  </si>
  <si>
    <t xml:space="preserve">140</t>
  </si>
  <si>
    <t xml:space="preserve">17</t>
  </si>
  <si>
    <t xml:space="preserve">28</t>
  </si>
  <si>
    <t xml:space="preserve">146</t>
  </si>
  <si>
    <t xml:space="preserve">16:55</t>
  </si>
  <si>
    <t xml:space="preserve">39:30</t>
  </si>
  <si>
    <t xml:space="preserve">31</t>
  </si>
  <si>
    <t xml:space="preserve">62</t>
  </si>
  <si>
    <t xml:space="preserve">102</t>
  </si>
  <si>
    <t xml:space="preserve">19:49</t>
  </si>
  <si>
    <t xml:space="preserve">53:52</t>
  </si>
  <si>
    <t xml:space="preserve">42</t>
  </si>
  <si>
    <t xml:space="preserve">106</t>
  </si>
  <si>
    <t xml:space="preserve">26:48</t>
  </si>
  <si>
    <t xml:space="preserve">148</t>
  </si>
  <si>
    <t xml:space="preserve">88</t>
  </si>
  <si>
    <t xml:space="preserve">73</t>
  </si>
  <si>
    <t xml:space="preserve">13:34</t>
  </si>
  <si>
    <t xml:space="preserve">18</t>
  </si>
  <si>
    <t xml:space="preserve">25:40</t>
  </si>
  <si>
    <t xml:space="preserve">81</t>
  </si>
  <si>
    <t xml:space="preserve">19</t>
  </si>
  <si>
    <t xml:space="preserve">129</t>
  </si>
  <si>
    <t xml:space="preserve">17:19</t>
  </si>
  <si>
    <t xml:space="preserve">--</t>
  </si>
  <si>
    <t xml:space="preserve">51:29</t>
  </si>
  <si>
    <t xml:space="preserve">2,748</t>
  </si>
  <si>
    <t xml:space="preserve">25:13</t>
  </si>
  <si>
    <t xml:space="preserve">123</t>
  </si>
  <si>
    <t xml:space="preserve">113</t>
  </si>
  <si>
    <t xml:space="preserve">94</t>
  </si>
  <si>
    <t xml:space="preserve">90</t>
  </si>
  <si>
    <t xml:space="preserve">6:11</t>
  </si>
  <si>
    <t xml:space="preserve">23:38</t>
  </si>
  <si>
    <t xml:space="preserve">27:02</t>
  </si>
  <si>
    <t xml:space="preserve">107</t>
  </si>
  <si>
    <t xml:space="preserve">74</t>
  </si>
  <si>
    <t xml:space="preserve">82</t>
  </si>
  <si>
    <t xml:space="preserve">4:56</t>
  </si>
  <si>
    <t xml:space="preserve">21:48</t>
  </si>
  <si>
    <t xml:space="preserve">17:37</t>
  </si>
  <si>
    <t xml:space="preserve">141</t>
  </si>
  <si>
    <t xml:space="preserve">75</t>
  </si>
  <si>
    <t xml:space="preserve">11:16</t>
  </si>
  <si>
    <t xml:space="preserve">17:23</t>
  </si>
  <si>
    <t xml:space="preserve">25:01</t>
  </si>
  <si>
    <t xml:space="preserve">109</t>
  </si>
  <si>
    <t xml:space="preserve">96</t>
  </si>
  <si>
    <t xml:space="preserve">70</t>
  </si>
  <si>
    <t xml:space="preserve">11:14</t>
  </si>
  <si>
    <t xml:space="preserve">21:43</t>
  </si>
  <si>
    <t xml:space="preserve">Summary</t>
  </si>
  <si>
    <t xml:space="preserve">23:40</t>
  </si>
  <si>
    <t xml:space="preserve">124</t>
  </si>
  <si>
    <t xml:space="preserve">110</t>
  </si>
  <si>
    <t xml:space="preserve">99</t>
  </si>
  <si>
    <t xml:space="preserve">306</t>
  </si>
  <si>
    <t xml:space="preserve">21:07</t>
  </si>
  <si>
    <t xml:space="preserve">27:44</t>
  </si>
  <si>
    <t xml:space="preserve">78</t>
  </si>
  <si>
    <t xml:space="preserve">19:18</t>
  </si>
  <si>
    <t xml:space="preserve">25:06</t>
  </si>
  <si>
    <t xml:space="preserve">23:45</t>
  </si>
  <si>
    <t xml:space="preserve">17:25</t>
  </si>
  <si>
    <t xml:space="preserve">23:46</t>
  </si>
  <si>
    <t xml:space="preserve">24:11</t>
  </si>
  <si>
    <t xml:space="preserve">93</t>
  </si>
  <si>
    <t xml:space="preserve">126</t>
  </si>
  <si>
    <t xml:space="preserve">17:58</t>
  </si>
  <si>
    <t xml:space="preserve">24:04</t>
  </si>
  <si>
    <t xml:space="preserve">20:29</t>
  </si>
  <si>
    <t xml:space="preserve">172</t>
  </si>
  <si>
    <t xml:space="preserve">114</t>
  </si>
  <si>
    <t xml:space="preserve">103</t>
  </si>
  <si>
    <t xml:space="preserve">12:05</t>
  </si>
  <si>
    <t xml:space="preserve">20:31</t>
  </si>
  <si>
    <t xml:space="preserve">112</t>
  </si>
  <si>
    <t xml:space="preserve">13:08</t>
  </si>
  <si>
    <t xml:space="preserve">18:04</t>
  </si>
  <si>
    <t xml:space="preserve">166</t>
  </si>
  <si>
    <t xml:space="preserve">72</t>
  </si>
  <si>
    <t xml:space="preserve">10:58</t>
  </si>
  <si>
    <t xml:space="preserve">18:05</t>
  </si>
  <si>
    <t xml:space="preserve">20:46</t>
  </si>
  <si>
    <t xml:space="preserve">79</t>
  </si>
  <si>
    <t xml:space="preserve">12:27</t>
  </si>
  <si>
    <t xml:space="preserve">108</t>
  </si>
  <si>
    <t xml:space="preserve">9:43</t>
  </si>
  <si>
    <t xml:space="preserve">21:34</t>
  </si>
  <si>
    <t xml:space="preserve">35:54</t>
  </si>
  <si>
    <t xml:space="preserve">60</t>
  </si>
  <si>
    <t xml:space="preserve">12:40</t>
  </si>
  <si>
    <t xml:space="preserve">24:52</t>
  </si>
  <si>
    <t xml:space="preserve">30:00</t>
  </si>
  <si>
    <t xml:space="preserve">67</t>
  </si>
  <si>
    <t xml:space="preserve">23:15</t>
  </si>
  <si>
    <t xml:space="preserve">24:46</t>
  </si>
  <si>
    <t xml:space="preserve">87</t>
  </si>
  <si>
    <t xml:space="preserve">9:27</t>
  </si>
  <si>
    <t xml:space="preserve">23:47</t>
  </si>
  <si>
    <t xml:space="preserve">46:54</t>
  </si>
  <si>
    <t xml:space="preserve">125</t>
  </si>
  <si>
    <t xml:space="preserve">100</t>
  </si>
  <si>
    <t xml:space="preserve">20:17</t>
  </si>
  <si>
    <t xml:space="preserve">41:31</t>
  </si>
  <si>
    <t xml:space="preserve">54</t>
  </si>
  <si>
    <t xml:space="preserve">47</t>
  </si>
  <si>
    <t xml:space="preserve">200</t>
  </si>
  <si>
    <t xml:space="preserve">9:45</t>
  </si>
  <si>
    <t xml:space="preserve">19:32</t>
  </si>
  <si>
    <t xml:space="preserve">51:59</t>
  </si>
  <si>
    <t xml:space="preserve">32</t>
  </si>
  <si>
    <t xml:space="preserve">195</t>
  </si>
  <si>
    <t xml:space="preserve">19:06</t>
  </si>
  <si>
    <t xml:space="preserve">27:37</t>
  </si>
  <si>
    <t xml:space="preserve">158</t>
  </si>
  <si>
    <t xml:space="preserve">83</t>
  </si>
  <si>
    <t xml:space="preserve">14:01</t>
  </si>
  <si>
    <t xml:space="preserve">22:51</t>
  </si>
  <si>
    <t xml:space="preserve">40:35</t>
  </si>
  <si>
    <t xml:space="preserve">12:37</t>
  </si>
  <si>
    <t xml:space="preserve">28:31</t>
  </si>
  <si>
    <t xml:space="preserve">37:15</t>
  </si>
  <si>
    <t xml:space="preserve">35</t>
  </si>
  <si>
    <t xml:space="preserve">104</t>
  </si>
  <si>
    <t xml:space="preserve">14:54</t>
  </si>
  <si>
    <t xml:space="preserve">22:19</t>
  </si>
  <si>
    <t xml:space="preserve">41:12</t>
  </si>
  <si>
    <t xml:space="preserve">37</t>
  </si>
  <si>
    <t xml:space="preserve">98</t>
  </si>
  <si>
    <t xml:space="preserve">17:32</t>
  </si>
  <si>
    <t xml:space="preserve">26:03</t>
  </si>
  <si>
    <t xml:space="preserve">46:10</t>
  </si>
  <si>
    <t xml:space="preserve">22</t>
  </si>
  <si>
    <t xml:space="preserve">18:33</t>
  </si>
  <si>
    <t xml:space="preserve">26:40</t>
  </si>
  <si>
    <t xml:space="preserve">16:26</t>
  </si>
  <si>
    <t xml:space="preserve">24:16</t>
  </si>
  <si>
    <t xml:space="preserve">24:05</t>
  </si>
  <si>
    <t xml:space="preserve">77</t>
  </si>
  <si>
    <t xml:space="preserve">92</t>
  </si>
  <si>
    <t xml:space="preserve">68</t>
  </si>
  <si>
    <t xml:space="preserve">16:48</t>
  </si>
  <si>
    <t xml:space="preserve">22:27</t>
  </si>
  <si>
    <t xml:space="preserve">24:28</t>
  </si>
  <si>
    <t xml:space="preserve">22:58</t>
  </si>
  <si>
    <t xml:space="preserve">25:34</t>
  </si>
  <si>
    <t xml:space="preserve">69</t>
  </si>
  <si>
    <t xml:space="preserve">23:14</t>
  </si>
  <si>
    <t xml:space="preserve">25:49</t>
  </si>
  <si>
    <t xml:space="preserve">64</t>
  </si>
  <si>
    <t xml:space="preserve">13:37</t>
  </si>
  <si>
    <t xml:space="preserve">23:20</t>
  </si>
  <si>
    <t xml:space="preserve">31:33</t>
  </si>
  <si>
    <t xml:space="preserve">20:15</t>
  </si>
  <si>
    <t xml:space="preserve">28:13</t>
  </si>
  <si>
    <t xml:space="preserve">33:14</t>
  </si>
  <si>
    <t xml:space="preserve">80</t>
  </si>
  <si>
    <t xml:space="preserve">15:53</t>
  </si>
  <si>
    <t xml:space="preserve">31:47</t>
  </si>
  <si>
    <t xml:space="preserve">18:55</t>
  </si>
  <si>
    <t xml:space="preserve">24:09</t>
  </si>
  <si>
    <t xml:space="preserve">30:37</t>
  </si>
  <si>
    <t xml:space="preserve">2,790</t>
  </si>
  <si>
    <t xml:space="preserve">23:12</t>
  </si>
  <si>
    <t xml:space="preserve">128</t>
  </si>
  <si>
    <t xml:space="preserve">10:53</t>
  </si>
  <si>
    <t xml:space="preserve">23:39</t>
  </si>
  <si>
    <t xml:space="preserve">27:11</t>
  </si>
  <si>
    <t xml:space="preserve">13:26</t>
  </si>
  <si>
    <t xml:space="preserve">24:15</t>
  </si>
  <si>
    <t xml:space="preserve">25:25</t>
  </si>
  <si>
    <t xml:space="preserve">115</t>
  </si>
  <si>
    <t xml:space="preserve">97</t>
  </si>
  <si>
    <t xml:space="preserve">14:31</t>
  </si>
  <si>
    <t xml:space="preserve">24:37</t>
  </si>
  <si>
    <t xml:space="preserve">26:30</t>
  </si>
  <si>
    <t xml:space="preserve">26:06</t>
  </si>
  <si>
    <t xml:space="preserve">26:56</t>
  </si>
  <si>
    <t xml:space="preserve">85</t>
  </si>
  <si>
    <t xml:space="preserve">23:34</t>
  </si>
  <si>
    <t xml:space="preserve">23:28</t>
  </si>
  <si>
    <t xml:space="preserve">14:40</t>
  </si>
  <si>
    <t xml:space="preserve">22:42</t>
  </si>
  <si>
    <t xml:space="preserve">27:14</t>
  </si>
  <si>
    <t xml:space="preserve">89</t>
  </si>
  <si>
    <t xml:space="preserve">10:07</t>
  </si>
  <si>
    <t xml:space="preserve">22:35</t>
  </si>
  <si>
    <t xml:space="preserve">23:43</t>
  </si>
  <si>
    <t xml:space="preserve">23:22</t>
  </si>
  <si>
    <t xml:space="preserve">15:08</t>
  </si>
  <si>
    <t xml:space="preserve">23:06</t>
  </si>
  <si>
    <t xml:space="preserve">18:45</t>
  </si>
  <si>
    <t xml:space="preserve">116</t>
  </si>
  <si>
    <t xml:space="preserve">10:14</t>
  </si>
  <si>
    <t xml:space="preserve">18:37</t>
  </si>
  <si>
    <t xml:space="preserve">65</t>
  </si>
  <si>
    <t xml:space="preserve">23:07</t>
  </si>
  <si>
    <t xml:space="preserve">26:13</t>
  </si>
  <si>
    <t xml:space="preserve">25:47</t>
  </si>
  <si>
    <t xml:space="preserve">24:07</t>
  </si>
  <si>
    <t xml:space="preserve">23:09</t>
  </si>
  <si>
    <t xml:space="preserve">27:12</t>
  </si>
  <si>
    <t xml:space="preserve">22:07</t>
  </si>
  <si>
    <t xml:space="preserve">24:43</t>
  </si>
  <si>
    <t xml:space="preserve">1,172</t>
  </si>
  <si>
    <t xml:space="preserve">23:42</t>
  </si>
  <si>
    <t xml:space="preserve">180</t>
  </si>
  <si>
    <t xml:space="preserve">500</t>
  </si>
  <si>
    <t xml:space="preserve">13:46</t>
  </si>
  <si>
    <t xml:space="preserve">177</t>
  </si>
  <si>
    <t xml:space="preserve">366</t>
  </si>
  <si>
    <t xml:space="preserve">24:57</t>
  </si>
  <si>
    <t xml:space="preserve">41:24</t>
  </si>
  <si>
    <t xml:space="preserve">179</t>
  </si>
  <si>
    <t xml:space="preserve">12:14</t>
  </si>
  <si>
    <t xml:space="preserve">25:37</t>
  </si>
  <si>
    <t xml:space="preserve">191</t>
  </si>
  <si>
    <t xml:space="preserve">10:51</t>
  </si>
  <si>
    <t xml:space="preserve">24:31</t>
  </si>
  <si>
    <t xml:space="preserve">58</t>
  </si>
  <si>
    <t xml:space="preserve">47:13</t>
  </si>
  <si>
    <t xml:space="preserve">28:18</t>
  </si>
  <si>
    <t xml:space="preserve">151</t>
  </si>
  <si>
    <t xml:space="preserve">223</t>
  </si>
  <si>
    <t xml:space="preserve">12:30</t>
  </si>
  <si>
    <t xml:space="preserve">38</t>
  </si>
  <si>
    <t xml:space="preserve">206</t>
  </si>
  <si>
    <t xml:space="preserve">13:49</t>
  </si>
  <si>
    <t xml:space="preserve">28:08</t>
  </si>
  <si>
    <t xml:space="preserve">48:35</t>
  </si>
  <si>
    <t xml:space="preserve">17:51</t>
  </si>
  <si>
    <t xml:space="preserve">23:36</t>
  </si>
  <si>
    <t xml:space="preserve">1,998</t>
  </si>
  <si>
    <t xml:space="preserve">22:38</t>
  </si>
  <si>
    <t xml:space="preserve">186</t>
  </si>
  <si>
    <t xml:space="preserve">2294</t>
  </si>
  <si>
    <t xml:space="preserve">9:03</t>
  </si>
  <si>
    <t xml:space="preserve">1012</t>
  </si>
  <si>
    <t xml:space="preserve">14:36</t>
  </si>
  <si>
    <t xml:space="preserve">17:59</t>
  </si>
  <si>
    <t xml:space="preserve">Time in Zones — Heart Rate</t>
  </si>
  <si>
    <t xml:space="preserve">Rentang zona berubah seiring waktu karena Garmin menyesuaikan max HR — rentang per aktivitas ikut dicatat.</t>
  </si>
  <si>
    <t xml:space="preserve">Z5 rentang</t>
  </si>
  <si>
    <t xml:space="preserve">Z5 waktu</t>
  </si>
  <si>
    <t xml:space="preserve">Z5 %</t>
  </si>
  <si>
    <t xml:space="preserve">Z4 rentang</t>
  </si>
  <si>
    <t xml:space="preserve">Z4 waktu</t>
  </si>
  <si>
    <t xml:space="preserve">Z4 %</t>
  </si>
  <si>
    <t xml:space="preserve">Z3 rentang</t>
  </si>
  <si>
    <t xml:space="preserve">Z3 waktu</t>
  </si>
  <si>
    <t xml:space="preserve">Z3 %</t>
  </si>
  <si>
    <t xml:space="preserve">Z2 rentang</t>
  </si>
  <si>
    <t xml:space="preserve">Z2 waktu</t>
  </si>
  <si>
    <t xml:space="preserve">Z2 %</t>
  </si>
  <si>
    <t xml:space="preserve">Z1 rentang</t>
  </si>
  <si>
    <t xml:space="preserve">Z1 waktu</t>
  </si>
  <si>
    <t xml:space="preserve">Z1 %</t>
  </si>
  <si>
    <t xml:space="preserve">&gt; 178</t>
  </si>
  <si>
    <t xml:space="preserve">159-178</t>
  </si>
  <si>
    <t xml:space="preserve">139-158</t>
  </si>
  <si>
    <t xml:space="preserve">119-138</t>
  </si>
  <si>
    <t xml:space="preserve">100-118</t>
  </si>
  <si>
    <t xml:space="preserve">—</t>
  </si>
  <si>
    <t xml:space="preserve">&gt; 184</t>
  </si>
  <si>
    <t xml:space="preserve">165-184</t>
  </si>
  <si>
    <t xml:space="preserve">144-164</t>
  </si>
  <si>
    <t xml:space="preserve">124-143</t>
  </si>
  <si>
    <t xml:space="preserve">103-123</t>
  </si>
  <si>
    <t xml:space="preserve">&gt; 183</t>
  </si>
  <si>
    <t xml:space="preserve">163-183</t>
  </si>
  <si>
    <t xml:space="preserve">143-162</t>
  </si>
  <si>
    <t xml:space="preserve">122-142</t>
  </si>
  <si>
    <t xml:space="preserve">102-121</t>
  </si>
  <si>
    <t xml:space="preserve">164-184</t>
  </si>
  <si>
    <t xml:space="preserve">144-163</t>
  </si>
  <si>
    <t xml:space="preserve">123-143</t>
  </si>
  <si>
    <t xml:space="preserve">103-122</t>
  </si>
  <si>
    <t xml:space="preserve">&gt; 190</t>
  </si>
  <si>
    <t xml:space="preserve">170-190</t>
  </si>
  <si>
    <t xml:space="preserve">148-169</t>
  </si>
  <si>
    <t xml:space="preserve">127-147</t>
  </si>
  <si>
    <t xml:space="preserve">106-126</t>
  </si>
  <si>
    <t xml:space="preserve">&gt; 193</t>
  </si>
  <si>
    <t xml:space="preserve">172-193</t>
  </si>
  <si>
    <t xml:space="preserve">151-171</t>
  </si>
  <si>
    <t xml:space="preserve">129-150</t>
  </si>
  <si>
    <t xml:space="preserve">108-128</t>
  </si>
  <si>
    <t xml:space="preserve">Aktivitas 26 Jan 2025 1:44 PM tidak punya data HR, jadi tidak ada Time in Zones.</t>
  </si>
  <si>
    <t xml:space="preserve">Power Zones — hanya Trail Running</t>
  </si>
  <si>
    <t xml:space="preserve">Running power baru terekam di aktivitas trail 2026. Persentase tidak berjumlah 100% karena sisa waktu ada di bawah Zone 1.</t>
  </si>
  <si>
    <t xml:space="preserve">PZ5 rentang</t>
  </si>
  <si>
    <t xml:space="preserve">PZ5 waktu</t>
  </si>
  <si>
    <t xml:space="preserve">PZ5 %</t>
  </si>
  <si>
    <t xml:space="preserve">PZ4 rentang</t>
  </si>
  <si>
    <t xml:space="preserve">PZ4 waktu</t>
  </si>
  <si>
    <t xml:space="preserve">PZ4 %</t>
  </si>
  <si>
    <t xml:space="preserve">PZ3 rentang</t>
  </si>
  <si>
    <t xml:space="preserve">PZ3 waktu</t>
  </si>
  <si>
    <t xml:space="preserve">PZ3 %</t>
  </si>
  <si>
    <t xml:space="preserve">PZ2 rentang</t>
  </si>
  <si>
    <t xml:space="preserve">PZ2 waktu</t>
  </si>
  <si>
    <t xml:space="preserve">PZ2 %</t>
  </si>
  <si>
    <t xml:space="preserve">PZ1 rentang</t>
  </si>
  <si>
    <t xml:space="preserve">PZ1 waktu</t>
  </si>
  <si>
    <t xml:space="preserve">PZ1 %</t>
  </si>
  <si>
    <t xml:space="preserve">&gt; 229 W</t>
  </si>
  <si>
    <t xml:space="preserve">200-229 W</t>
  </si>
  <si>
    <t xml:space="preserve">180-199 W</t>
  </si>
  <si>
    <t xml:space="preserve">160-179 W</t>
  </si>
  <si>
    <t xml:space="preserve">130-159 W</t>
  </si>
  <si>
    <t xml:space="preserve">Analisis — Hiking &amp; Trail Running</t>
  </si>
  <si>
    <t xml:space="preserve">Semua angka formula yang menarik dari sheet Ringkasan &amp; Time in Zones. Ubah datanya, angka di sini ikut berubah.</t>
  </si>
  <si>
    <t xml:space="preserve">A. TOTAL SEMUA AKTIVITAS (Jan 2025 – Sep 2026)</t>
  </si>
  <si>
    <t xml:space="preserve">Jumlah aktivitas</t>
  </si>
  <si>
    <t xml:space="preserve">Total jarak (km)</t>
  </si>
  <si>
    <t xml:space="preserve">Total waktu bergerak</t>
  </si>
  <si>
    <t xml:space="preserve">Total ascent (m)</t>
  </si>
  <si>
    <t xml:space="preserve">Sebagai gambaran: Puncak Kerinci 3.805 m dari permukaan laut.</t>
  </si>
  <si>
    <t xml:space="preserve">Total descent (m)</t>
  </si>
  <si>
    <t xml:space="preserve">Total kalori (kcal)</t>
  </si>
  <si>
    <t xml:space="preserve">B. HIKING vs TRAIL RUNNING</t>
  </si>
  <si>
    <t xml:space="preserve">Metrik</t>
  </si>
  <si>
    <t xml:space="preserve">Trail Running</t>
  </si>
  <si>
    <t xml:space="preserve">Selisih</t>
  </si>
  <si>
    <t xml:space="preserve">Rata-rata jarak (km)</t>
  </si>
  <si>
    <t xml:space="preserve">Total waktu</t>
  </si>
  <si>
    <t xml:space="preserve">Rata-rata Avg HR</t>
  </si>
  <si>
    <t xml:space="preserve">Rata-rata kalori</t>
  </si>
  <si>
    <t xml:space="preserve">C. PER LOKASI</t>
  </si>
  <si>
    <t xml:space="preserve">Lokasi</t>
  </si>
  <si>
    <t xml:space="preserve">Jumlah</t>
  </si>
  <si>
    <t xml:space="preserve">Total km</t>
  </si>
  <si>
    <t xml:space="preserve">Total jam</t>
  </si>
  <si>
    <t xml:space="preserve">Kerinci</t>
  </si>
  <si>
    <t xml:space="preserve">Magelang</t>
  </si>
  <si>
    <t xml:space="preserve">Pemalang</t>
  </si>
  <si>
    <t xml:space="preserve">Bogor</t>
  </si>
  <si>
    <t xml:space="preserve">Purwakarta</t>
  </si>
  <si>
    <t xml:space="preserve">Wonosobo</t>
  </si>
  <si>
    <t xml:space="preserve">Catatan: 2 aktivitas 26 Jan 2025 hanya bernama "Hiking" tanpa lokasi, tapi rangkaian Kerinci — tidak terhitung di baris Kerinci.</t>
  </si>
  <si>
    <t xml:space="preserve">D. REKOR</t>
  </si>
  <si>
    <t xml:space="preserve">Ascent tertinggi (m)</t>
  </si>
  <si>
    <t xml:space="preserve">Kerinci 25 Jan 2025.</t>
  </si>
  <si>
    <t xml:space="preserve">Jarak terjauh (km)</t>
  </si>
  <si>
    <t xml:space="preserve">Bogor Trail Running 11 Apr 2026.</t>
  </si>
  <si>
    <t xml:space="preserve">Durasi terlama</t>
  </si>
  <si>
    <t xml:space="preserve">Kerinci 25 Jan 2025 — 9 jam 31 menit.</t>
  </si>
  <si>
    <t xml:space="preserve">Max HR tertinggi</t>
  </si>
  <si>
    <t xml:space="preserve">Kalori terbesar</t>
  </si>
  <si>
    <t xml:space="preserve">Total jam Zone 3+ (aerobik ke atas)</t>
  </si>
  <si>
    <t xml:space="preserve">Z5+Z4+Z3 dijumlah dari semua aktivitas.</t>
  </si>
  <si>
    <t xml:space="preserve">E. CATATAN &amp; TEMUAN</t>
  </si>
  <si>
    <t xml:space="preserve">1. Total 25 aktivitas dalam 20 bulan: 20 Hiking + 5 Trail Running. Akumulasi ascent-nya besar sekali untuk aktivitas yang bukan latihan terstruktur.</t>
  </si>
  <si>
    <t xml:space="preserve">2. Hampir semua aktivitas bertipe Base (Low Aerobic), dan mayoritas waktu ada di Zone 2. Ini pola aerobik volume tinggi — fondasi yang bagus untuk ultra/trail panjang.</t>
  </si>
  <si>
    <t xml:space="preserve">3. Empat aktivitas kena Aerobic TE 5.0 Overreaching: Kerinci 24 &amp; 25 Jan 2025, Magelang 29 Mei 2025, dan Wonosobo 5 Sep 2026. Semuanya pendakian panjang &gt;5 jam.</t>
  </si>
  <si>
    <t xml:space="preserve">4. Avg Pace sering tertulis 0 /mi di Garmin untuk hiking. Yang bisa dipakai adalah Avg Moving Pace — lihat kolomnya di sheet Ringkasan (sudah dikonversi ke /km).</t>
  </si>
  <si>
    <t xml:space="preserve">5. Avg Cadence hiking sangat rendah (2-25 spm) karena jam mendeteksi langkah mendaki, bukan langkah lari. Jangan dibandingkan dengan cadence lari 160-170 spm di data COROS.</t>
  </si>
  <si>
    <t xml:space="preserve">6. Running power baru muncul di trail 2026. Avg power-nya: 110 W (23 Jan), 98 W (30 Apr), 74 W (11 Apr), 34 W (17 Jan), 26 W (30 Agu). Yang rendah adalah sesi dengan porsi jalan kaki paling besar — power hanya terekam saat berlari.</t>
  </si>
  <si>
    <t xml:space="preserve">7. Trail 17 Jan 2026 (Bogor - Easy Run) sebenarnya workout terstruktur: warm up 5 menit, 2 interval lari 10 menit, sisanya cool down 7 jam 44 menit. Perceived effort 8/10 Very Hard.</t>
  </si>
  <si>
    <t xml:space="preserve">8. Perbandingan menarik: Wonosobo Trail Run 30 Agu 2026 di Garmin (8,13 km, 6:05:40) adalah aktivitas yang sama dengan yang kamu labeli 'Hiking Santai' di file COROS. Dua jam mencatat sesi yang sama dengan durasi berbeda — COROS 4:47:20 activity time, Garmin 6:05:40.</t>
  </si>
  <si>
    <t xml:space="preserve">9. Satu aktivitas (26 Jan 2025, 1:44 PM, 0,02 mi) tidak punya data HR sama sekali — kemungkinan jam baru dinyalakan. Tab Time in Zones memang tidak ada di aktivitas itu.</t>
  </si>
  <si>
    <t xml:space="preserve">Poin 1-7 &amp; 9 dari data Garmin. Poin 8 membandingkan dengan file COROS sebelumnya di sesi ini.</t>
  </si>
</sst>
</file>

<file path=xl/styles.xml><?xml version="1.0" encoding="utf-8"?>
<styleSheet xmlns="http://schemas.openxmlformats.org/spreadsheetml/2006/main">
  <numFmts count="8">
    <numFmt numFmtId="164" formatCode="General"/>
    <numFmt numFmtId="165" formatCode="0.00"/>
    <numFmt numFmtId="166" formatCode="[h]:mm:ss"/>
    <numFmt numFmtId="167" formatCode="mm:ss"/>
    <numFmt numFmtId="168" formatCode="0.0"/>
    <numFmt numFmtId="169" formatCode="0%"/>
    <numFmt numFmtId="170" formatCode="0"/>
    <numFmt numFmtId="171" formatCode="#,##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1"/>
      <color rgb="FFFFFFFF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FF2CC"/>
        <bgColor rgb="FFFFFFFF"/>
      </patternFill>
    </fill>
    <fill>
      <patternFill patternType="solid">
        <fgColor rgb="FFDEEBF7"/>
        <bgColor rgb="FFD9E2F3"/>
      </patternFill>
    </fill>
    <fill>
      <patternFill patternType="solid">
        <fgColor rgb="FFD9E2F3"/>
        <bgColor rgb="FFDEEBF7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8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5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9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2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8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0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71" fontId="7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EEBF7"/>
      <rgbColor rgb="FF660066"/>
      <rgbColor rgb="FFFF8080"/>
      <rgbColor rgb="FF0066CC"/>
      <rgbColor rgb="FFD9E2F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3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4"/>
    <col collapsed="false" customWidth="true" hidden="false" outlineLevel="0" max="2" min="2" style="1" width="11"/>
    <col collapsed="false" customWidth="true" hidden="false" outlineLevel="0" max="3" min="3" style="1" width="8"/>
    <col collapsed="false" customWidth="true" hidden="false" outlineLevel="0" max="4" min="4" style="1" width="26"/>
    <col collapsed="false" customWidth="true" hidden="false" outlineLevel="0" max="5" min="5" style="1" width="13"/>
    <col collapsed="false" customWidth="true" hidden="false" outlineLevel="0" max="7" min="6" style="1" width="9"/>
    <col collapsed="false" customWidth="true" hidden="false" outlineLevel="0" max="10" min="8" style="1" width="10"/>
    <col collapsed="false" customWidth="true" hidden="false" outlineLevel="0" max="11" min="11" style="1" width="11"/>
    <col collapsed="false" customWidth="true" hidden="false" outlineLevel="0" max="12" min="12" style="1" width="13"/>
    <col collapsed="false" customWidth="true" hidden="false" outlineLevel="0" max="13" min="13" style="1" width="12"/>
    <col collapsed="false" customWidth="true" hidden="false" outlineLevel="0" max="15" min="14" style="1" width="8"/>
    <col collapsed="false" customWidth="true" hidden="false" outlineLevel="0" max="21" min="16" style="1" width="10"/>
    <col collapsed="false" customWidth="true" hidden="false" outlineLevel="0" max="22" min="22" style="1" width="11"/>
    <col collapsed="false" customWidth="true" hidden="false" outlineLevel="0" max="23" min="23" style="1" width="9"/>
    <col collapsed="false" customWidth="true" hidden="false" outlineLevel="0" max="25" min="24" style="1" width="14"/>
    <col collapsed="false" customWidth="true" hidden="false" outlineLevel="0" max="28" min="26" style="1" width="11"/>
    <col collapsed="false" customWidth="true" hidden="false" outlineLevel="0" max="29" min="29" style="1" width="12"/>
    <col collapsed="false" customWidth="true" hidden="false" outlineLevel="0" max="30" min="30" style="1" width="16"/>
  </cols>
  <sheetData>
    <row r="1" customFormat="false" ht="17.25" hidden="false" customHeight="true" outlineLevel="0" collapsed="false">
      <c r="A1" s="2" t="s">
        <v>0</v>
      </c>
    </row>
    <row r="2" customFormat="false" ht="15" hidden="false" customHeight="true" outlineLevel="0" collapsed="false">
      <c r="A2" s="3" t="s">
        <v>1</v>
      </c>
    </row>
    <row r="4" customFormat="false" ht="31.5" hidden="false" customHeight="true" outlineLevel="0" collapsed="false">
      <c r="A4" s="4" t="s">
        <v>2</v>
      </c>
      <c r="B4" s="4" t="s">
        <v>3</v>
      </c>
      <c r="C4" s="4" t="s">
        <v>4</v>
      </c>
      <c r="D4" s="4" t="s">
        <v>5</v>
      </c>
      <c r="E4" s="4" t="s">
        <v>6</v>
      </c>
      <c r="F4" s="4" t="s">
        <v>7</v>
      </c>
      <c r="G4" s="4" t="s">
        <v>8</v>
      </c>
      <c r="H4" s="4" t="s">
        <v>9</v>
      </c>
      <c r="I4" s="4" t="s">
        <v>10</v>
      </c>
      <c r="J4" s="4" t="s">
        <v>11</v>
      </c>
      <c r="K4" s="4" t="s">
        <v>12</v>
      </c>
      <c r="L4" s="4" t="s">
        <v>13</v>
      </c>
      <c r="M4" s="4" t="s">
        <v>14</v>
      </c>
      <c r="N4" s="4" t="s">
        <v>15</v>
      </c>
      <c r="O4" s="4" t="s">
        <v>16</v>
      </c>
      <c r="P4" s="4" t="s">
        <v>17</v>
      </c>
      <c r="Q4" s="4" t="s">
        <v>18</v>
      </c>
      <c r="R4" s="4" t="s">
        <v>19</v>
      </c>
      <c r="S4" s="4" t="s">
        <v>20</v>
      </c>
      <c r="T4" s="4" t="s">
        <v>21</v>
      </c>
      <c r="U4" s="4" t="s">
        <v>22</v>
      </c>
      <c r="V4" s="4" t="s">
        <v>23</v>
      </c>
      <c r="W4" s="4" t="s">
        <v>24</v>
      </c>
      <c r="X4" s="4" t="s">
        <v>25</v>
      </c>
      <c r="Y4" s="4" t="s">
        <v>26</v>
      </c>
      <c r="Z4" s="4" t="s">
        <v>27</v>
      </c>
      <c r="AA4" s="4" t="s">
        <v>28</v>
      </c>
      <c r="AB4" s="4" t="s">
        <v>29</v>
      </c>
      <c r="AC4" s="4" t="s">
        <v>30</v>
      </c>
      <c r="AD4" s="4" t="s">
        <v>31</v>
      </c>
    </row>
    <row r="5" customFormat="false" ht="15" hidden="false" customHeight="true" outlineLevel="0" collapsed="false">
      <c r="A5" s="5" t="n">
        <v>1</v>
      </c>
      <c r="B5" s="5" t="s">
        <v>32</v>
      </c>
      <c r="C5" s="5" t="s">
        <v>33</v>
      </c>
      <c r="D5" s="6" t="s">
        <v>34</v>
      </c>
      <c r="E5" s="5" t="s">
        <v>35</v>
      </c>
      <c r="F5" s="7" t="n">
        <v>8.58</v>
      </c>
      <c r="G5" s="7" t="n">
        <v>5.33</v>
      </c>
      <c r="H5" s="8" t="n">
        <v>0.248101851851852</v>
      </c>
      <c r="I5" s="8" t="n">
        <v>0.0542476851851852</v>
      </c>
      <c r="J5" s="8" t="n">
        <v>0.248101851851852</v>
      </c>
      <c r="K5" s="5" t="s">
        <v>36</v>
      </c>
      <c r="L5" s="9" t="n">
        <v>0.00632158564814815</v>
      </c>
      <c r="M5" s="9" t="n">
        <v>0.00571747685185185</v>
      </c>
      <c r="N5" s="5" t="n">
        <v>148</v>
      </c>
      <c r="O5" s="5" t="n">
        <v>181</v>
      </c>
      <c r="P5" s="5" t="n">
        <v>775</v>
      </c>
      <c r="Q5" s="5" t="n">
        <v>841</v>
      </c>
      <c r="R5" s="5" t="n">
        <v>1408</v>
      </c>
      <c r="S5" s="5" t="n">
        <v>2115</v>
      </c>
      <c r="T5" s="5" t="n">
        <v>11</v>
      </c>
      <c r="U5" s="5" t="n">
        <v>250</v>
      </c>
      <c r="V5" s="5"/>
      <c r="W5" s="5" t="n">
        <v>2061</v>
      </c>
      <c r="X5" s="5" t="s">
        <v>37</v>
      </c>
      <c r="Y5" s="5" t="s">
        <v>38</v>
      </c>
      <c r="Z5" s="10" t="n">
        <v>26.7</v>
      </c>
      <c r="AA5" s="5" t="n">
        <v>317</v>
      </c>
      <c r="AB5" s="5" t="n">
        <v>0</v>
      </c>
      <c r="AC5" s="5"/>
      <c r="AD5" s="5"/>
    </row>
    <row r="6" customFormat="false" ht="15" hidden="false" customHeight="true" outlineLevel="0" collapsed="false">
      <c r="A6" s="5" t="n">
        <v>2</v>
      </c>
      <c r="B6" s="5" t="s">
        <v>39</v>
      </c>
      <c r="C6" s="5" t="s">
        <v>40</v>
      </c>
      <c r="D6" s="6" t="s">
        <v>34</v>
      </c>
      <c r="E6" s="5" t="s">
        <v>35</v>
      </c>
      <c r="F6" s="7" t="n">
        <v>9.17</v>
      </c>
      <c r="G6" s="7" t="n">
        <v>5.7</v>
      </c>
      <c r="H6" s="8" t="n">
        <v>0.397106481481482</v>
      </c>
      <c r="I6" s="8" t="n">
        <v>0.0112268518518519</v>
      </c>
      <c r="J6" s="8" t="n">
        <v>0.399293981481482</v>
      </c>
      <c r="K6" s="5" t="s">
        <v>36</v>
      </c>
      <c r="L6" s="9" t="n">
        <v>0.00122260416666667</v>
      </c>
      <c r="M6" s="9" t="n">
        <v>0.00541542824074074</v>
      </c>
      <c r="N6" s="5" t="n">
        <v>145</v>
      </c>
      <c r="O6" s="5" t="n">
        <v>173</v>
      </c>
      <c r="P6" s="5" t="n">
        <v>1488</v>
      </c>
      <c r="Q6" s="5" t="n">
        <v>16</v>
      </c>
      <c r="R6" s="5" t="n">
        <v>1820</v>
      </c>
      <c r="S6" s="5" t="n">
        <v>3305</v>
      </c>
      <c r="T6" s="5" t="n">
        <v>2</v>
      </c>
      <c r="U6" s="5" t="n">
        <v>187</v>
      </c>
      <c r="V6" s="5"/>
      <c r="W6" s="5" t="n">
        <v>3121</v>
      </c>
      <c r="X6" s="5" t="s">
        <v>37</v>
      </c>
      <c r="Y6" s="5" t="s">
        <v>41</v>
      </c>
      <c r="Z6" s="10" t="n">
        <v>20.9</v>
      </c>
      <c r="AA6" s="5" t="n">
        <v>474</v>
      </c>
      <c r="AB6" s="5" t="n">
        <v>0</v>
      </c>
      <c r="AC6" s="5"/>
      <c r="AD6" s="5"/>
    </row>
    <row r="7" customFormat="false" ht="15" hidden="false" customHeight="true" outlineLevel="0" collapsed="false">
      <c r="A7" s="5" t="n">
        <v>3</v>
      </c>
      <c r="B7" s="5" t="s">
        <v>42</v>
      </c>
      <c r="C7" s="5" t="s">
        <v>43</v>
      </c>
      <c r="D7" s="6" t="s">
        <v>44</v>
      </c>
      <c r="E7" s="5" t="s">
        <v>35</v>
      </c>
      <c r="F7" s="7" t="n">
        <v>0.03</v>
      </c>
      <c r="G7" s="7" t="n">
        <v>0.02</v>
      </c>
      <c r="H7" s="8" t="n">
        <v>0.0597569444444445</v>
      </c>
      <c r="I7" s="8" t="n">
        <v>0.000381944444444445</v>
      </c>
      <c r="J7" s="8" t="n">
        <v>0.0598148148148148</v>
      </c>
      <c r="K7" s="5" t="s">
        <v>36</v>
      </c>
      <c r="L7" s="9" t="n">
        <v>0.0119815277777778</v>
      </c>
      <c r="M7" s="9" t="n">
        <v>0.00794693287037037</v>
      </c>
      <c r="N7" s="5"/>
      <c r="O7" s="5"/>
      <c r="P7" s="5" t="n">
        <v>0</v>
      </c>
      <c r="Q7" s="5" t="n">
        <v>186</v>
      </c>
      <c r="R7" s="5" t="n">
        <v>3071</v>
      </c>
      <c r="S7" s="5" t="n">
        <v>3299</v>
      </c>
      <c r="T7" s="5" t="n">
        <v>1</v>
      </c>
      <c r="U7" s="5" t="n">
        <v>158</v>
      </c>
      <c r="V7" s="5"/>
      <c r="W7" s="5" t="n">
        <v>2</v>
      </c>
      <c r="X7" s="5" t="s">
        <v>45</v>
      </c>
      <c r="Y7" s="5" t="s">
        <v>46</v>
      </c>
      <c r="Z7" s="10" t="n">
        <v>28</v>
      </c>
      <c r="AA7" s="5"/>
      <c r="AB7" s="5"/>
      <c r="AC7" s="5"/>
      <c r="AD7" s="5"/>
    </row>
    <row r="8" customFormat="false" ht="15" hidden="false" customHeight="true" outlineLevel="0" collapsed="false">
      <c r="A8" s="5" t="n">
        <v>4</v>
      </c>
      <c r="B8" s="5" t="s">
        <v>42</v>
      </c>
      <c r="C8" s="5" t="s">
        <v>47</v>
      </c>
      <c r="D8" s="6" t="s">
        <v>44</v>
      </c>
      <c r="E8" s="5" t="s">
        <v>35</v>
      </c>
      <c r="F8" s="7" t="n">
        <v>0.23</v>
      </c>
      <c r="G8" s="7" t="n">
        <v>0.14</v>
      </c>
      <c r="H8" s="8" t="n">
        <v>0.151087962962963</v>
      </c>
      <c r="I8" s="8" t="n">
        <v>0.00239583333333333</v>
      </c>
      <c r="J8" s="8" t="n">
        <v>0.151087962962963</v>
      </c>
      <c r="K8" s="5" t="s">
        <v>36</v>
      </c>
      <c r="L8" s="9" t="n">
        <v>0.0102842708333333</v>
      </c>
      <c r="M8" s="9" t="n">
        <v>0.00681782407407407</v>
      </c>
      <c r="N8" s="5" t="n">
        <v>144</v>
      </c>
      <c r="O8" s="5" t="n">
        <v>159</v>
      </c>
      <c r="P8" s="5" t="n">
        <v>0</v>
      </c>
      <c r="Q8" s="5" t="n">
        <v>847</v>
      </c>
      <c r="R8" s="5" t="n">
        <v>2204</v>
      </c>
      <c r="S8" s="5" t="n">
        <v>3058</v>
      </c>
      <c r="T8" s="5" t="n">
        <v>3</v>
      </c>
      <c r="U8" s="5" t="n">
        <v>176</v>
      </c>
      <c r="V8" s="5"/>
      <c r="W8" s="5" t="n">
        <v>1319</v>
      </c>
      <c r="X8" s="5" t="s">
        <v>48</v>
      </c>
      <c r="Y8" s="5" t="s">
        <v>46</v>
      </c>
      <c r="Z8" s="10" t="n">
        <v>23</v>
      </c>
      <c r="AA8" s="5" t="n">
        <v>197</v>
      </c>
      <c r="AB8" s="5" t="n">
        <v>-33</v>
      </c>
      <c r="AC8" s="5"/>
      <c r="AD8" s="5"/>
    </row>
    <row r="9" customFormat="false" ht="15" hidden="false" customHeight="true" outlineLevel="0" collapsed="false">
      <c r="A9" s="5" t="n">
        <v>5</v>
      </c>
      <c r="B9" s="5" t="s">
        <v>42</v>
      </c>
      <c r="C9" s="5" t="s">
        <v>49</v>
      </c>
      <c r="D9" s="6" t="s">
        <v>34</v>
      </c>
      <c r="E9" s="5" t="s">
        <v>35</v>
      </c>
      <c r="F9" s="7" t="n">
        <v>0.6</v>
      </c>
      <c r="G9" s="7" t="n">
        <v>0.37</v>
      </c>
      <c r="H9" s="8" t="n">
        <v>0.0838773148148148</v>
      </c>
      <c r="I9" s="8" t="n">
        <v>0.00342592592592593</v>
      </c>
      <c r="J9" s="8" t="n">
        <v>0.0838773148148148</v>
      </c>
      <c r="K9" s="5" t="s">
        <v>36</v>
      </c>
      <c r="L9" s="9" t="n">
        <v>0.00569590277777778</v>
      </c>
      <c r="M9" s="9" t="n">
        <v>0.00399144675925926</v>
      </c>
      <c r="N9" s="5" t="n">
        <v>142</v>
      </c>
      <c r="O9" s="5" t="n">
        <v>161</v>
      </c>
      <c r="P9" s="5" t="n">
        <v>0</v>
      </c>
      <c r="Q9" s="5" t="n">
        <v>397</v>
      </c>
      <c r="R9" s="5" t="n">
        <v>1801</v>
      </c>
      <c r="S9" s="5" t="n">
        <v>2203</v>
      </c>
      <c r="T9" s="5" t="n">
        <v>5</v>
      </c>
      <c r="U9" s="5" t="n">
        <v>187</v>
      </c>
      <c r="V9" s="5"/>
      <c r="W9" s="5" t="n">
        <v>735</v>
      </c>
      <c r="X9" s="5" t="s">
        <v>50</v>
      </c>
      <c r="Y9" s="5" t="s">
        <v>51</v>
      </c>
      <c r="Z9" s="10" t="n">
        <v>24</v>
      </c>
      <c r="AA9" s="5" t="n">
        <v>109</v>
      </c>
      <c r="AB9" s="5" t="n">
        <v>-1</v>
      </c>
      <c r="AC9" s="5"/>
      <c r="AD9" s="5"/>
    </row>
    <row r="10" customFormat="false" ht="15" hidden="false" customHeight="true" outlineLevel="0" collapsed="false">
      <c r="A10" s="5" t="n">
        <v>6</v>
      </c>
      <c r="B10" s="5" t="s">
        <v>52</v>
      </c>
      <c r="C10" s="5" t="s">
        <v>53</v>
      </c>
      <c r="D10" s="6" t="s">
        <v>54</v>
      </c>
      <c r="E10" s="5" t="s">
        <v>35</v>
      </c>
      <c r="F10" s="7" t="n">
        <v>2.95</v>
      </c>
      <c r="G10" s="7" t="n">
        <v>1.83</v>
      </c>
      <c r="H10" s="8" t="n">
        <v>0.071087962962963</v>
      </c>
      <c r="I10" s="8" t="n">
        <v>0.0191550925925926</v>
      </c>
      <c r="J10" s="8" t="n">
        <v>0.071087962962963</v>
      </c>
      <c r="K10" s="5" t="s">
        <v>55</v>
      </c>
      <c r="L10" s="9" t="n">
        <v>0.00648700231481481</v>
      </c>
      <c r="M10" s="9" t="n">
        <v>0.00475377314814815</v>
      </c>
      <c r="N10" s="5" t="n">
        <v>119</v>
      </c>
      <c r="O10" s="5" t="n">
        <v>150</v>
      </c>
      <c r="P10" s="5" t="n">
        <v>201</v>
      </c>
      <c r="Q10" s="5" t="n">
        <v>35</v>
      </c>
      <c r="R10" s="5" t="n">
        <v>1101</v>
      </c>
      <c r="S10" s="5" t="n">
        <v>1268</v>
      </c>
      <c r="T10" s="5" t="n">
        <v>23</v>
      </c>
      <c r="U10" s="5" t="n">
        <v>209</v>
      </c>
      <c r="V10" s="5"/>
      <c r="W10" s="5" t="n">
        <v>456</v>
      </c>
      <c r="X10" s="5" t="s">
        <v>56</v>
      </c>
      <c r="Y10" s="5" t="s">
        <v>46</v>
      </c>
      <c r="Z10" s="10" t="n">
        <v>28</v>
      </c>
      <c r="AA10" s="5" t="n">
        <v>54</v>
      </c>
      <c r="AB10" s="5" t="n">
        <v>-8</v>
      </c>
      <c r="AC10" s="5"/>
      <c r="AD10" s="5"/>
    </row>
    <row r="11" customFormat="false" ht="15" hidden="false" customHeight="true" outlineLevel="0" collapsed="false">
      <c r="A11" s="5" t="n">
        <v>7</v>
      </c>
      <c r="B11" s="5" t="s">
        <v>57</v>
      </c>
      <c r="C11" s="5" t="s">
        <v>58</v>
      </c>
      <c r="D11" s="6" t="s">
        <v>59</v>
      </c>
      <c r="E11" s="5" t="s">
        <v>35</v>
      </c>
      <c r="F11" s="7" t="n">
        <v>2.56</v>
      </c>
      <c r="G11" s="7" t="n">
        <v>1.59</v>
      </c>
      <c r="H11" s="8" t="n">
        <v>0.191238425925926</v>
      </c>
      <c r="I11" s="8" t="n">
        <v>0.00924768518518519</v>
      </c>
      <c r="J11" s="8" t="n">
        <v>0.196180555555556</v>
      </c>
      <c r="K11" s="5" t="s">
        <v>36</v>
      </c>
      <c r="L11" s="9" t="n">
        <v>0.00362466435185185</v>
      </c>
      <c r="M11" s="9" t="n">
        <v>0.00560960648148148</v>
      </c>
      <c r="N11" s="5" t="n">
        <v>132</v>
      </c>
      <c r="O11" s="5" t="n">
        <v>171</v>
      </c>
      <c r="P11" s="5" t="n">
        <v>198</v>
      </c>
      <c r="Q11" s="5" t="n">
        <v>202</v>
      </c>
      <c r="R11" s="5" t="n">
        <v>432</v>
      </c>
      <c r="S11" s="5" t="n">
        <v>632</v>
      </c>
      <c r="T11" s="5" t="n">
        <v>5</v>
      </c>
      <c r="U11" s="5" t="n">
        <v>240</v>
      </c>
      <c r="V11" s="5"/>
      <c r="W11" s="5" t="n">
        <v>1353</v>
      </c>
      <c r="X11" s="5" t="s">
        <v>60</v>
      </c>
      <c r="Y11" s="5" t="s">
        <v>61</v>
      </c>
      <c r="Z11" s="10" t="n">
        <v>38</v>
      </c>
      <c r="AA11" s="5" t="n">
        <v>176</v>
      </c>
      <c r="AB11" s="5" t="n">
        <v>-24</v>
      </c>
      <c r="AC11" s="5"/>
      <c r="AD11" s="5"/>
    </row>
    <row r="12" customFormat="false" ht="15" hidden="false" customHeight="true" outlineLevel="0" collapsed="false">
      <c r="A12" s="5" t="n">
        <v>8</v>
      </c>
      <c r="B12" s="5" t="s">
        <v>62</v>
      </c>
      <c r="C12" s="5" t="s">
        <v>63</v>
      </c>
      <c r="D12" s="6" t="s">
        <v>64</v>
      </c>
      <c r="E12" s="5" t="s">
        <v>35</v>
      </c>
      <c r="F12" s="7" t="n">
        <v>6.86</v>
      </c>
      <c r="G12" s="7" t="n">
        <v>4.26</v>
      </c>
      <c r="H12" s="8" t="n">
        <v>0.299201388888889</v>
      </c>
      <c r="I12" s="8" t="n">
        <v>0.0141203703703704</v>
      </c>
      <c r="J12" s="8" t="n">
        <v>0.300185185185185</v>
      </c>
      <c r="K12" s="5" t="s">
        <v>36</v>
      </c>
      <c r="L12" s="9" t="n">
        <v>0.00206405092592593</v>
      </c>
      <c r="M12" s="9" t="n">
        <v>0.00677467592592593</v>
      </c>
      <c r="N12" s="5" t="n">
        <v>140</v>
      </c>
      <c r="O12" s="5" t="n">
        <v>174</v>
      </c>
      <c r="P12" s="5" t="n">
        <v>1210</v>
      </c>
      <c r="Q12" s="5" t="n">
        <v>6</v>
      </c>
      <c r="R12" s="5" t="n">
        <v>1527</v>
      </c>
      <c r="S12" s="5" t="n">
        <v>2743</v>
      </c>
      <c r="T12" s="5" t="n">
        <v>7</v>
      </c>
      <c r="U12" s="5" t="n">
        <v>160</v>
      </c>
      <c r="V12" s="5"/>
      <c r="W12" s="5" t="n">
        <v>2417</v>
      </c>
      <c r="X12" s="5" t="s">
        <v>37</v>
      </c>
      <c r="Y12" s="5" t="s">
        <v>56</v>
      </c>
      <c r="Z12" s="10" t="n">
        <v>30.3</v>
      </c>
      <c r="AA12" s="5" t="n">
        <v>354</v>
      </c>
      <c r="AB12" s="5" t="n">
        <v>-18</v>
      </c>
      <c r="AC12" s="5"/>
      <c r="AD12" s="5"/>
    </row>
    <row r="13" customFormat="false" ht="15" hidden="false" customHeight="true" outlineLevel="0" collapsed="false">
      <c r="A13" s="5" t="n">
        <v>9</v>
      </c>
      <c r="B13" s="5" t="s">
        <v>65</v>
      </c>
      <c r="C13" s="5" t="s">
        <v>66</v>
      </c>
      <c r="D13" s="6" t="s">
        <v>64</v>
      </c>
      <c r="E13" s="5" t="s">
        <v>35</v>
      </c>
      <c r="F13" s="7" t="n">
        <v>5.38</v>
      </c>
      <c r="G13" s="7" t="n">
        <v>3.34</v>
      </c>
      <c r="H13" s="8" t="n">
        <v>0.162939814814815</v>
      </c>
      <c r="I13" s="8" t="n">
        <v>0.0308101851851852</v>
      </c>
      <c r="J13" s="8" t="n">
        <v>0.165648148148148</v>
      </c>
      <c r="K13" s="5" t="s">
        <v>36</v>
      </c>
      <c r="L13" s="9" t="n">
        <v>0.00573905092592593</v>
      </c>
      <c r="M13" s="9" t="n">
        <v>0.0053003587962963</v>
      </c>
      <c r="N13" s="5" t="n">
        <v>140</v>
      </c>
      <c r="O13" s="5" t="n">
        <v>165</v>
      </c>
      <c r="P13" s="5" t="n">
        <v>2</v>
      </c>
      <c r="Q13" s="5" t="n">
        <v>1219</v>
      </c>
      <c r="R13" s="5" t="n">
        <v>1524</v>
      </c>
      <c r="S13" s="5" t="n">
        <v>2743</v>
      </c>
      <c r="T13" s="5" t="n">
        <v>20</v>
      </c>
      <c r="U13" s="5" t="n">
        <v>240</v>
      </c>
      <c r="V13" s="5"/>
      <c r="W13" s="5" t="n">
        <v>1370</v>
      </c>
      <c r="X13" s="5" t="s">
        <v>67</v>
      </c>
      <c r="Y13" s="5" t="s">
        <v>46</v>
      </c>
      <c r="Z13" s="10" t="n">
        <v>29.4</v>
      </c>
      <c r="AA13" s="5" t="n">
        <v>205</v>
      </c>
      <c r="AB13" s="5"/>
      <c r="AC13" s="5"/>
      <c r="AD13" s="5"/>
    </row>
    <row r="14" customFormat="false" ht="15" hidden="false" customHeight="true" outlineLevel="0" collapsed="false">
      <c r="A14" s="5" t="n">
        <v>10</v>
      </c>
      <c r="B14" s="5" t="s">
        <v>65</v>
      </c>
      <c r="C14" s="5" t="s">
        <v>68</v>
      </c>
      <c r="D14" s="6" t="s">
        <v>64</v>
      </c>
      <c r="E14" s="5" t="s">
        <v>35</v>
      </c>
      <c r="F14" s="7" t="n">
        <v>2.43</v>
      </c>
      <c r="G14" s="7" t="n">
        <v>1.51</v>
      </c>
      <c r="H14" s="8" t="n">
        <v>0.119780092592593</v>
      </c>
      <c r="I14" s="8" t="n">
        <v>0.00481481481481482</v>
      </c>
      <c r="J14" s="8" t="n">
        <v>0.119826388888889</v>
      </c>
      <c r="K14" s="5" t="s">
        <v>36</v>
      </c>
      <c r="L14" s="9" t="n">
        <v>0.00197774305555556</v>
      </c>
      <c r="M14" s="9" t="n">
        <v>0.00399144675925926</v>
      </c>
      <c r="N14" s="5" t="n">
        <v>137</v>
      </c>
      <c r="O14" s="5" t="n">
        <v>171</v>
      </c>
      <c r="P14" s="5" t="n">
        <v>426</v>
      </c>
      <c r="Q14" s="5" t="n">
        <v>29</v>
      </c>
      <c r="R14" s="5" t="n">
        <v>2742</v>
      </c>
      <c r="S14" s="5" t="n">
        <v>3157</v>
      </c>
      <c r="T14" s="5" t="n">
        <v>4</v>
      </c>
      <c r="U14" s="5" t="n">
        <v>188</v>
      </c>
      <c r="V14" s="5"/>
      <c r="W14" s="5" t="n">
        <v>961</v>
      </c>
      <c r="X14" s="5" t="s">
        <v>69</v>
      </c>
      <c r="Y14" s="5" t="s">
        <v>70</v>
      </c>
      <c r="Z14" s="10" t="n">
        <v>24</v>
      </c>
      <c r="AA14" s="5"/>
      <c r="AB14" s="5" t="n">
        <v>-15</v>
      </c>
      <c r="AC14" s="5"/>
      <c r="AD14" s="5"/>
    </row>
    <row r="15" customFormat="false" ht="15" hidden="false" customHeight="true" outlineLevel="0" collapsed="false">
      <c r="A15" s="5" t="n">
        <v>11</v>
      </c>
      <c r="B15" s="5" t="s">
        <v>65</v>
      </c>
      <c r="C15" s="5" t="s">
        <v>71</v>
      </c>
      <c r="D15" s="6" t="s">
        <v>64</v>
      </c>
      <c r="E15" s="5" t="s">
        <v>35</v>
      </c>
      <c r="F15" s="7" t="n">
        <v>1.13</v>
      </c>
      <c r="G15" s="7" t="n">
        <v>0.7</v>
      </c>
      <c r="H15" s="8" t="n">
        <v>0.0423032407407407</v>
      </c>
      <c r="I15" s="8" t="n">
        <v>0.0103240740740741</v>
      </c>
      <c r="J15" s="8" t="n">
        <v>0.0423263888888889</v>
      </c>
      <c r="K15" s="5" t="s">
        <v>36</v>
      </c>
      <c r="L15" s="9" t="n">
        <v>0.00916234953703704</v>
      </c>
      <c r="M15" s="9" t="n">
        <v>0.00433665509259259</v>
      </c>
      <c r="N15" s="5" t="n">
        <v>139</v>
      </c>
      <c r="O15" s="5" t="n">
        <v>155</v>
      </c>
      <c r="P15" s="5" t="n">
        <v>1</v>
      </c>
      <c r="Q15" s="5" t="n">
        <v>310</v>
      </c>
      <c r="R15" s="5" t="n">
        <v>2746</v>
      </c>
      <c r="S15" s="5" t="n">
        <v>3060</v>
      </c>
      <c r="T15" s="5" t="n">
        <v>21</v>
      </c>
      <c r="U15" s="5" t="n">
        <v>162</v>
      </c>
      <c r="V15" s="5"/>
      <c r="W15" s="5" t="n">
        <v>410</v>
      </c>
      <c r="X15" s="5" t="s">
        <v>72</v>
      </c>
      <c r="Y15" s="5" t="s">
        <v>46</v>
      </c>
      <c r="Z15" s="10" t="n">
        <v>27</v>
      </c>
      <c r="AA15" s="5"/>
      <c r="AB15" s="5" t="n">
        <v>0</v>
      </c>
      <c r="AC15" s="5"/>
      <c r="AD15" s="5"/>
    </row>
    <row r="16" customFormat="false" ht="15" hidden="false" customHeight="true" outlineLevel="0" collapsed="false">
      <c r="A16" s="5" t="n">
        <v>12</v>
      </c>
      <c r="B16" s="5" t="s">
        <v>73</v>
      </c>
      <c r="C16" s="5" t="s">
        <v>58</v>
      </c>
      <c r="D16" s="6" t="s">
        <v>74</v>
      </c>
      <c r="E16" s="5" t="s">
        <v>35</v>
      </c>
      <c r="F16" s="7" t="n">
        <v>5.34</v>
      </c>
      <c r="G16" s="7" t="n">
        <v>3.32</v>
      </c>
      <c r="H16" s="8" t="n">
        <v>0.227002314814815</v>
      </c>
      <c r="I16" s="8" t="n">
        <v>0.0134143518518519</v>
      </c>
      <c r="J16" s="8" t="n">
        <v>0.227048611111111</v>
      </c>
      <c r="K16" s="5" t="s">
        <v>36</v>
      </c>
      <c r="L16" s="9" t="n">
        <v>0.00250994212962963</v>
      </c>
      <c r="M16" s="9" t="n">
        <v>0.0053003587962963</v>
      </c>
      <c r="N16" s="5" t="n">
        <v>131</v>
      </c>
      <c r="O16" s="5" t="n">
        <v>173</v>
      </c>
      <c r="P16" s="5" t="n">
        <v>865</v>
      </c>
      <c r="Q16" s="5" t="n">
        <v>4</v>
      </c>
      <c r="R16" s="5" t="n">
        <v>1952</v>
      </c>
      <c r="S16" s="5" t="n">
        <v>2814</v>
      </c>
      <c r="T16" s="5" t="n">
        <v>10</v>
      </c>
      <c r="U16" s="5" t="n">
        <v>167</v>
      </c>
      <c r="V16" s="5"/>
      <c r="W16" s="5" t="n">
        <v>1677</v>
      </c>
      <c r="X16" s="5" t="s">
        <v>75</v>
      </c>
      <c r="Y16" s="5" t="s">
        <v>76</v>
      </c>
      <c r="Z16" s="10" t="n">
        <v>27</v>
      </c>
      <c r="AA16" s="5" t="n">
        <v>240</v>
      </c>
      <c r="AB16" s="5" t="n">
        <v>0</v>
      </c>
      <c r="AC16" s="5"/>
      <c r="AD16" s="5"/>
    </row>
    <row r="17" customFormat="false" ht="15" hidden="false" customHeight="true" outlineLevel="0" collapsed="false">
      <c r="A17" s="5" t="n">
        <v>13</v>
      </c>
      <c r="B17" s="5" t="s">
        <v>77</v>
      </c>
      <c r="C17" s="5" t="s">
        <v>78</v>
      </c>
      <c r="D17" s="6" t="s">
        <v>74</v>
      </c>
      <c r="E17" s="5" t="s">
        <v>35</v>
      </c>
      <c r="F17" s="7" t="n">
        <v>3.69</v>
      </c>
      <c r="G17" s="7" t="n">
        <v>2.29</v>
      </c>
      <c r="H17" s="8" t="n">
        <v>0.127835648148148</v>
      </c>
      <c r="I17" s="8" t="n">
        <v>0.0187268518518519</v>
      </c>
      <c r="J17" s="8" t="n">
        <v>0.127928240740741</v>
      </c>
      <c r="K17" s="5" t="s">
        <v>36</v>
      </c>
      <c r="L17" s="9" t="n">
        <v>0.00507740740740741</v>
      </c>
      <c r="M17" s="9" t="n">
        <v>0.00649418981481482</v>
      </c>
      <c r="N17" s="5" t="n">
        <v>120</v>
      </c>
      <c r="O17" s="5" t="n">
        <v>145</v>
      </c>
      <c r="P17" s="5" t="n">
        <v>0</v>
      </c>
      <c r="Q17" s="5" t="n">
        <v>857</v>
      </c>
      <c r="R17" s="5" t="n">
        <v>1963</v>
      </c>
      <c r="S17" s="5" t="n">
        <v>2824</v>
      </c>
      <c r="T17" s="5" t="n">
        <v>20</v>
      </c>
      <c r="U17" s="5" t="n">
        <v>158</v>
      </c>
      <c r="V17" s="5"/>
      <c r="W17" s="5" t="n">
        <v>784</v>
      </c>
      <c r="X17" s="5" t="s">
        <v>79</v>
      </c>
      <c r="Y17" s="5" t="s">
        <v>46</v>
      </c>
      <c r="Z17" s="10" t="n">
        <v>27</v>
      </c>
      <c r="AA17" s="5" t="n">
        <v>74</v>
      </c>
      <c r="AB17" s="5" t="n">
        <v>0</v>
      </c>
      <c r="AC17" s="5"/>
      <c r="AD17" s="5"/>
    </row>
    <row r="18" customFormat="false" ht="15" hidden="false" customHeight="true" outlineLevel="0" collapsed="false">
      <c r="A18" s="5" t="n">
        <v>14</v>
      </c>
      <c r="B18" s="5" t="s">
        <v>77</v>
      </c>
      <c r="C18" s="5" t="s">
        <v>80</v>
      </c>
      <c r="D18" s="6" t="s">
        <v>74</v>
      </c>
      <c r="E18" s="5" t="s">
        <v>35</v>
      </c>
      <c r="F18" s="7" t="n">
        <v>2.53</v>
      </c>
      <c r="G18" s="7" t="n">
        <v>1.57</v>
      </c>
      <c r="H18" s="8" t="n">
        <v>0.151111111111111</v>
      </c>
      <c r="I18" s="8" t="n">
        <v>0.00362268518518519</v>
      </c>
      <c r="J18" s="8" t="n">
        <v>0.151111111111111</v>
      </c>
      <c r="K18" s="5" t="s">
        <v>36</v>
      </c>
      <c r="L18" s="9" t="n">
        <v>0.00143835648148148</v>
      </c>
      <c r="M18" s="9" t="n">
        <v>0.00646542824074074</v>
      </c>
      <c r="N18" s="5" t="n">
        <v>130</v>
      </c>
      <c r="O18" s="5" t="n">
        <v>170</v>
      </c>
      <c r="P18" s="5" t="n">
        <v>627</v>
      </c>
      <c r="Q18" s="5" t="n">
        <v>2</v>
      </c>
      <c r="R18" s="5" t="n">
        <v>2815</v>
      </c>
      <c r="S18" s="5" t="n">
        <v>3443</v>
      </c>
      <c r="T18" s="5" t="n">
        <v>5</v>
      </c>
      <c r="U18" s="5" t="n">
        <v>167</v>
      </c>
      <c r="V18" s="5"/>
      <c r="W18" s="5" t="n">
        <v>1073</v>
      </c>
      <c r="X18" s="5" t="s">
        <v>81</v>
      </c>
      <c r="Y18" s="5" t="s">
        <v>82</v>
      </c>
      <c r="Z18" s="10" t="n">
        <v>21</v>
      </c>
      <c r="AA18" s="5" t="n">
        <v>137</v>
      </c>
      <c r="AB18" s="5" t="n">
        <v>0</v>
      </c>
      <c r="AC18" s="5"/>
      <c r="AD18" s="5"/>
    </row>
    <row r="19" customFormat="false" ht="15" hidden="false" customHeight="true" outlineLevel="0" collapsed="false">
      <c r="A19" s="5" t="n">
        <v>15</v>
      </c>
      <c r="B19" s="5" t="s">
        <v>77</v>
      </c>
      <c r="C19" s="5" t="s">
        <v>83</v>
      </c>
      <c r="D19" s="6" t="s">
        <v>74</v>
      </c>
      <c r="E19" s="5" t="s">
        <v>35</v>
      </c>
      <c r="F19" s="7" t="n">
        <v>2.25</v>
      </c>
      <c r="G19" s="7" t="n">
        <v>1.4</v>
      </c>
      <c r="H19" s="8" t="n">
        <v>0.0841435185185185</v>
      </c>
      <c r="I19" s="8" t="n">
        <v>0.00885416666666667</v>
      </c>
      <c r="J19" s="8" t="n">
        <v>0.0841898148148148</v>
      </c>
      <c r="K19" s="5" t="s">
        <v>36</v>
      </c>
      <c r="L19" s="9" t="n">
        <v>0.00391952546296296</v>
      </c>
      <c r="M19" s="9" t="n">
        <v>0.00512775462962963</v>
      </c>
      <c r="N19" s="5" t="n">
        <v>127</v>
      </c>
      <c r="O19" s="5" t="n">
        <v>153</v>
      </c>
      <c r="P19" s="5" t="n">
        <v>5</v>
      </c>
      <c r="Q19" s="5" t="n">
        <v>584</v>
      </c>
      <c r="R19" s="5" t="n">
        <v>2823</v>
      </c>
      <c r="S19" s="5" t="n">
        <v>3436</v>
      </c>
      <c r="T19" s="5" t="n">
        <v>12</v>
      </c>
      <c r="U19" s="5" t="n">
        <v>214</v>
      </c>
      <c r="V19" s="5"/>
      <c r="W19" s="5" t="n">
        <v>604</v>
      </c>
      <c r="X19" s="5" t="s">
        <v>79</v>
      </c>
      <c r="Y19" s="5" t="s">
        <v>84</v>
      </c>
      <c r="Z19" s="10" t="n">
        <v>29</v>
      </c>
      <c r="AA19" s="5" t="n">
        <v>75</v>
      </c>
      <c r="AB19" s="5" t="n">
        <v>0</v>
      </c>
      <c r="AC19" s="5"/>
      <c r="AD19" s="5"/>
    </row>
    <row r="20" customFormat="false" ht="15" hidden="false" customHeight="true" outlineLevel="0" collapsed="false">
      <c r="A20" s="5" t="n">
        <v>16</v>
      </c>
      <c r="B20" s="5" t="s">
        <v>85</v>
      </c>
      <c r="C20" s="5" t="s">
        <v>86</v>
      </c>
      <c r="D20" s="6" t="s">
        <v>54</v>
      </c>
      <c r="E20" s="5" t="s">
        <v>35</v>
      </c>
      <c r="F20" s="7" t="n">
        <v>7.44</v>
      </c>
      <c r="G20" s="7" t="n">
        <v>4.62</v>
      </c>
      <c r="H20" s="8" t="n">
        <v>0.103229166666667</v>
      </c>
      <c r="I20" s="8" t="n">
        <v>0.0787037037037037</v>
      </c>
      <c r="J20" s="8" t="n">
        <v>0.103229166666667</v>
      </c>
      <c r="K20" s="5" t="s">
        <v>87</v>
      </c>
      <c r="L20" s="9" t="n">
        <v>0.0105863194444445</v>
      </c>
      <c r="M20" s="9" t="n">
        <v>0.00512775462962963</v>
      </c>
      <c r="N20" s="5" t="n">
        <v>134</v>
      </c>
      <c r="O20" s="5" t="n">
        <v>161</v>
      </c>
      <c r="P20" s="5" t="n">
        <v>89</v>
      </c>
      <c r="Q20" s="5" t="n">
        <v>498</v>
      </c>
      <c r="R20" s="5" t="n">
        <v>757</v>
      </c>
      <c r="S20" s="5" t="n">
        <v>1202</v>
      </c>
      <c r="T20" s="5" t="n">
        <v>76</v>
      </c>
      <c r="U20" s="5" t="n">
        <v>244</v>
      </c>
      <c r="V20" s="5"/>
      <c r="W20" s="5" t="n">
        <v>791</v>
      </c>
      <c r="X20" s="5" t="s">
        <v>88</v>
      </c>
      <c r="Y20" s="5" t="s">
        <v>46</v>
      </c>
      <c r="Z20" s="10" t="n">
        <v>26</v>
      </c>
      <c r="AA20" s="5" t="n">
        <v>116</v>
      </c>
      <c r="AB20" s="5" t="n">
        <v>0</v>
      </c>
      <c r="AC20" s="5"/>
      <c r="AD20" s="5"/>
    </row>
    <row r="21" customFormat="false" ht="15" hidden="false" customHeight="true" outlineLevel="0" collapsed="false">
      <c r="A21" s="5" t="n">
        <v>17</v>
      </c>
      <c r="B21" s="5" t="s">
        <v>85</v>
      </c>
      <c r="C21" s="5" t="s">
        <v>89</v>
      </c>
      <c r="D21" s="6" t="s">
        <v>54</v>
      </c>
      <c r="E21" s="5" t="s">
        <v>35</v>
      </c>
      <c r="F21" s="7" t="n">
        <v>7.58</v>
      </c>
      <c r="G21" s="7" t="n">
        <v>4.71</v>
      </c>
      <c r="H21" s="8" t="n">
        <v>0.117638888888889</v>
      </c>
      <c r="I21" s="8" t="n">
        <v>0.0782407407407407</v>
      </c>
      <c r="J21" s="8" t="n">
        <v>0.117638888888889</v>
      </c>
      <c r="K21" s="5" t="s">
        <v>90</v>
      </c>
      <c r="L21" s="9" t="n">
        <v>0.0103130324074074</v>
      </c>
      <c r="M21" s="9" t="n">
        <v>0.00599076388888889</v>
      </c>
      <c r="N21" s="5" t="n">
        <v>137</v>
      </c>
      <c r="O21" s="5" t="n">
        <v>170</v>
      </c>
      <c r="P21" s="5" t="n">
        <v>500</v>
      </c>
      <c r="Q21" s="5" t="n">
        <v>86</v>
      </c>
      <c r="R21" s="5" t="n">
        <v>744</v>
      </c>
      <c r="S21" s="5" t="n">
        <v>1199</v>
      </c>
      <c r="T21" s="5" t="n">
        <v>55</v>
      </c>
      <c r="U21" s="5" t="n">
        <v>240</v>
      </c>
      <c r="V21" s="5"/>
      <c r="W21" s="5" t="n">
        <v>903</v>
      </c>
      <c r="X21" s="5" t="s">
        <v>91</v>
      </c>
      <c r="Y21" s="5" t="s">
        <v>46</v>
      </c>
      <c r="Z21" s="10" t="n">
        <v>26</v>
      </c>
      <c r="AA21" s="5" t="n">
        <v>125</v>
      </c>
      <c r="AB21" s="5" t="n">
        <v>-5</v>
      </c>
      <c r="AC21" s="5"/>
      <c r="AD21" s="5"/>
    </row>
    <row r="22" customFormat="false" ht="15" hidden="false" customHeight="true" outlineLevel="0" collapsed="false">
      <c r="A22" s="5" t="n">
        <v>18</v>
      </c>
      <c r="B22" s="5" t="s">
        <v>92</v>
      </c>
      <c r="C22" s="5" t="s">
        <v>93</v>
      </c>
      <c r="D22" s="6" t="s">
        <v>54</v>
      </c>
      <c r="E22" s="5" t="s">
        <v>35</v>
      </c>
      <c r="F22" s="7" t="n">
        <v>13.79</v>
      </c>
      <c r="G22" s="7" t="n">
        <v>8.57</v>
      </c>
      <c r="H22" s="8" t="n">
        <v>0.172800925925926</v>
      </c>
      <c r="I22" s="8" t="n">
        <v>0.119722222222222</v>
      </c>
      <c r="J22" s="8" t="n">
        <v>0.202569444444444</v>
      </c>
      <c r="K22" s="5" t="s">
        <v>94</v>
      </c>
      <c r="L22" s="9" t="n">
        <v>0.00868049768518519</v>
      </c>
      <c r="M22" s="9" t="n">
        <v>0.00444452546296296</v>
      </c>
      <c r="N22" s="5" t="n">
        <v>145</v>
      </c>
      <c r="O22" s="5" t="n">
        <v>170</v>
      </c>
      <c r="P22" s="5" t="n">
        <v>472</v>
      </c>
      <c r="Q22" s="5" t="n">
        <v>968</v>
      </c>
      <c r="R22" s="5" t="n">
        <v>269</v>
      </c>
      <c r="S22" s="5" t="n">
        <v>1100</v>
      </c>
      <c r="T22" s="5" t="n">
        <v>71</v>
      </c>
      <c r="U22" s="5" t="n">
        <v>250</v>
      </c>
      <c r="V22" s="5"/>
      <c r="W22" s="5" t="n">
        <v>1517</v>
      </c>
      <c r="X22" s="5" t="s">
        <v>95</v>
      </c>
      <c r="Y22" s="5" t="s">
        <v>41</v>
      </c>
      <c r="Z22" s="10" t="n">
        <v>28</v>
      </c>
      <c r="AA22" s="5" t="n">
        <v>234</v>
      </c>
      <c r="AB22" s="5" t="n">
        <v>-11</v>
      </c>
      <c r="AC22" s="5"/>
      <c r="AD22" s="5"/>
    </row>
    <row r="23" customFormat="false" ht="15" hidden="false" customHeight="true" outlineLevel="0" collapsed="false">
      <c r="A23" s="11" t="n">
        <v>19</v>
      </c>
      <c r="B23" s="11" t="s">
        <v>96</v>
      </c>
      <c r="C23" s="11" t="s">
        <v>97</v>
      </c>
      <c r="D23" s="12" t="s">
        <v>98</v>
      </c>
      <c r="E23" s="11" t="s">
        <v>99</v>
      </c>
      <c r="F23" s="13" t="n">
        <v>15.29</v>
      </c>
      <c r="G23" s="13" t="n">
        <v>9.5</v>
      </c>
      <c r="H23" s="14" t="n">
        <v>0.339907407407407</v>
      </c>
      <c r="I23" s="14" t="n">
        <v>0.147280092592593</v>
      </c>
      <c r="J23" s="14" t="n">
        <v>0.391944444444444</v>
      </c>
      <c r="K23" s="11" t="s">
        <v>100</v>
      </c>
      <c r="L23" s="15" t="n">
        <v>0.00963700231481481</v>
      </c>
      <c r="M23" s="15" t="n">
        <v>0.00353116898148148</v>
      </c>
      <c r="N23" s="11" t="n">
        <v>139</v>
      </c>
      <c r="O23" s="11" t="n">
        <v>170</v>
      </c>
      <c r="P23" s="11" t="n">
        <v>1238</v>
      </c>
      <c r="Q23" s="11" t="n">
        <v>1213</v>
      </c>
      <c r="R23" s="11" t="n">
        <v>352</v>
      </c>
      <c r="S23" s="11" t="n">
        <v>922</v>
      </c>
      <c r="T23" s="11" t="n">
        <v>34</v>
      </c>
      <c r="U23" s="11" t="n">
        <v>238</v>
      </c>
      <c r="V23" s="11" t="n">
        <v>34</v>
      </c>
      <c r="W23" s="11" t="n">
        <v>2748</v>
      </c>
      <c r="X23" s="11" t="s">
        <v>75</v>
      </c>
      <c r="Y23" s="11" t="s">
        <v>101</v>
      </c>
      <c r="Z23" s="16" t="n">
        <v>28.9</v>
      </c>
      <c r="AA23" s="11" t="n">
        <v>405</v>
      </c>
      <c r="AB23" s="11" t="n">
        <v>-2</v>
      </c>
      <c r="AC23" s="11" t="s">
        <v>102</v>
      </c>
      <c r="AD23" s="11" t="s">
        <v>103</v>
      </c>
    </row>
    <row r="24" customFormat="false" ht="15" hidden="false" customHeight="true" outlineLevel="0" collapsed="false">
      <c r="A24" s="11" t="n">
        <v>20</v>
      </c>
      <c r="B24" s="11" t="s">
        <v>104</v>
      </c>
      <c r="C24" s="11" t="s">
        <v>105</v>
      </c>
      <c r="D24" s="12" t="s">
        <v>106</v>
      </c>
      <c r="E24" s="11" t="s">
        <v>99</v>
      </c>
      <c r="F24" s="13" t="n">
        <v>3.88</v>
      </c>
      <c r="G24" s="13" t="n">
        <v>2.41</v>
      </c>
      <c r="H24" s="14" t="n">
        <v>0.0395949074074074</v>
      </c>
      <c r="I24" s="14" t="n">
        <v>0.0353009259259259</v>
      </c>
      <c r="J24" s="14" t="n">
        <v>0.0578935185185185</v>
      </c>
      <c r="K24" s="11" t="s">
        <v>107</v>
      </c>
      <c r="L24" s="15" t="n">
        <v>0.00911200231481482</v>
      </c>
      <c r="M24" s="15" t="n">
        <v>0.00212877314814815</v>
      </c>
      <c r="N24" s="11" t="n">
        <v>124</v>
      </c>
      <c r="O24" s="11" t="n">
        <v>152</v>
      </c>
      <c r="P24" s="11" t="n">
        <v>101</v>
      </c>
      <c r="Q24" s="11" t="n">
        <v>65</v>
      </c>
      <c r="R24" s="11" t="n">
        <v>651</v>
      </c>
      <c r="S24" s="11" t="n">
        <v>714</v>
      </c>
      <c r="T24" s="11" t="n">
        <v>99</v>
      </c>
      <c r="U24" s="11" t="n">
        <v>188</v>
      </c>
      <c r="V24" s="11" t="n">
        <v>110</v>
      </c>
      <c r="W24" s="11" t="n">
        <v>306</v>
      </c>
      <c r="X24" s="11" t="s">
        <v>56</v>
      </c>
      <c r="Y24" s="11" t="s">
        <v>46</v>
      </c>
      <c r="Z24" s="16" t="n">
        <v>25.2</v>
      </c>
      <c r="AA24" s="11" t="n">
        <v>42</v>
      </c>
      <c r="AB24" s="11" t="n">
        <v>-5</v>
      </c>
      <c r="AC24" s="11" t="s">
        <v>102</v>
      </c>
      <c r="AD24" s="11" t="s">
        <v>108</v>
      </c>
    </row>
    <row r="25" customFormat="false" ht="15" hidden="false" customHeight="true" outlineLevel="0" collapsed="false">
      <c r="A25" s="11" t="n">
        <v>21</v>
      </c>
      <c r="B25" s="11" t="s">
        <v>109</v>
      </c>
      <c r="C25" s="11" t="s">
        <v>110</v>
      </c>
      <c r="D25" s="12" t="s">
        <v>106</v>
      </c>
      <c r="E25" s="11" t="s">
        <v>99</v>
      </c>
      <c r="F25" s="13" t="n">
        <v>26.41</v>
      </c>
      <c r="G25" s="13" t="n">
        <v>16.41</v>
      </c>
      <c r="H25" s="14" t="n">
        <v>0.348761574074074</v>
      </c>
      <c r="I25" s="14" t="n">
        <v>0.264409722222222</v>
      </c>
      <c r="J25" s="14" t="n">
        <v>0.464351851851852</v>
      </c>
      <c r="K25" s="11" t="s">
        <v>111</v>
      </c>
      <c r="L25" s="15" t="n">
        <v>0.0100109837962963</v>
      </c>
      <c r="M25" s="15" t="n">
        <v>0.00399144675925926</v>
      </c>
      <c r="N25" s="11" t="n">
        <v>140</v>
      </c>
      <c r="O25" s="11" t="n">
        <v>172</v>
      </c>
      <c r="P25" s="11" t="n">
        <v>1209</v>
      </c>
      <c r="Q25" s="11" t="n">
        <v>1224</v>
      </c>
      <c r="R25" s="11" t="n">
        <v>721</v>
      </c>
      <c r="S25" s="11" t="n">
        <v>1332</v>
      </c>
      <c r="T25" s="11" t="n">
        <v>70</v>
      </c>
      <c r="U25" s="11" t="n">
        <v>250</v>
      </c>
      <c r="V25" s="11" t="n">
        <v>74</v>
      </c>
      <c r="W25" s="11" t="n">
        <v>2790</v>
      </c>
      <c r="X25" s="11" t="s">
        <v>88</v>
      </c>
      <c r="Y25" s="11" t="s">
        <v>112</v>
      </c>
      <c r="Z25" s="16" t="n">
        <v>27.1</v>
      </c>
      <c r="AA25" s="11" t="n">
        <v>413</v>
      </c>
      <c r="AB25" s="11" t="n">
        <v>-7</v>
      </c>
      <c r="AC25" s="11" t="s">
        <v>102</v>
      </c>
      <c r="AD25" s="11" t="s">
        <v>113</v>
      </c>
    </row>
    <row r="26" customFormat="false" ht="15" hidden="false" customHeight="true" outlineLevel="0" collapsed="false">
      <c r="A26" s="11" t="n">
        <v>22</v>
      </c>
      <c r="B26" s="11" t="s">
        <v>114</v>
      </c>
      <c r="C26" s="11" t="s">
        <v>115</v>
      </c>
      <c r="D26" s="12" t="s">
        <v>106</v>
      </c>
      <c r="E26" s="11" t="s">
        <v>99</v>
      </c>
      <c r="F26" s="13" t="n">
        <v>14.32</v>
      </c>
      <c r="G26" s="13" t="n">
        <v>8.9</v>
      </c>
      <c r="H26" s="14" t="n">
        <v>0.1528125</v>
      </c>
      <c r="I26" s="14" t="n">
        <v>0.146527777777778</v>
      </c>
      <c r="J26" s="14" t="n">
        <v>0.169733796296296</v>
      </c>
      <c r="K26" s="11" t="s">
        <v>116</v>
      </c>
      <c r="L26" s="15" t="n">
        <v>0.0102267361111111</v>
      </c>
      <c r="M26" s="15" t="n">
        <v>0.00436541666666667</v>
      </c>
      <c r="N26" s="11" t="n">
        <v>134</v>
      </c>
      <c r="O26" s="11" t="n">
        <v>170</v>
      </c>
      <c r="P26" s="11" t="n">
        <v>573</v>
      </c>
      <c r="Q26" s="11" t="n">
        <v>566</v>
      </c>
      <c r="R26" s="11" t="n">
        <v>758</v>
      </c>
      <c r="S26" s="11" t="n">
        <v>1203</v>
      </c>
      <c r="T26" s="11" t="n">
        <v>94</v>
      </c>
      <c r="U26" s="11" t="n">
        <v>250</v>
      </c>
      <c r="V26" s="11" t="n">
        <v>98</v>
      </c>
      <c r="W26" s="11" t="n">
        <v>1172</v>
      </c>
      <c r="X26" s="11" t="s">
        <v>117</v>
      </c>
      <c r="Y26" s="11" t="s">
        <v>112</v>
      </c>
      <c r="Z26" s="16" t="n">
        <v>25.9</v>
      </c>
      <c r="AA26" s="11" t="n">
        <v>182</v>
      </c>
      <c r="AB26" s="11" t="n">
        <v>-11</v>
      </c>
      <c r="AC26" s="11" t="s">
        <v>102</v>
      </c>
      <c r="AD26" s="11" t="s">
        <v>118</v>
      </c>
    </row>
    <row r="27" customFormat="false" ht="15" hidden="false" customHeight="true" outlineLevel="0" collapsed="false">
      <c r="A27" s="11" t="n">
        <v>23</v>
      </c>
      <c r="B27" s="11" t="s">
        <v>119</v>
      </c>
      <c r="C27" s="11" t="s">
        <v>120</v>
      </c>
      <c r="D27" s="12" t="s">
        <v>121</v>
      </c>
      <c r="E27" s="11" t="s">
        <v>99</v>
      </c>
      <c r="F27" s="13" t="n">
        <v>8.13</v>
      </c>
      <c r="G27" s="13" t="n">
        <v>5.05</v>
      </c>
      <c r="H27" s="14" t="n">
        <v>0.253935185185185</v>
      </c>
      <c r="I27" s="14" t="n">
        <v>0.0794212962962963</v>
      </c>
      <c r="J27" s="14" t="n">
        <v>0.268194444444445</v>
      </c>
      <c r="K27" s="11" t="s">
        <v>36</v>
      </c>
      <c r="L27" s="15" t="n">
        <v>0.00976645833333333</v>
      </c>
      <c r="M27" s="15" t="n">
        <v>0.00468186342592593</v>
      </c>
      <c r="N27" s="11" t="n">
        <v>146</v>
      </c>
      <c r="O27" s="11" t="n">
        <v>180</v>
      </c>
      <c r="P27" s="11" t="n">
        <v>549</v>
      </c>
      <c r="Q27" s="11" t="n">
        <v>768</v>
      </c>
      <c r="R27" s="11" t="n">
        <v>1994</v>
      </c>
      <c r="S27" s="11" t="n">
        <v>2605</v>
      </c>
      <c r="T27" s="11" t="n">
        <v>29</v>
      </c>
      <c r="U27" s="11" t="n">
        <v>244</v>
      </c>
      <c r="V27" s="11" t="n">
        <v>26</v>
      </c>
      <c r="W27" s="11" t="n">
        <v>1998</v>
      </c>
      <c r="X27" s="11" t="s">
        <v>75</v>
      </c>
      <c r="Y27" s="11" t="s">
        <v>122</v>
      </c>
      <c r="Z27" s="16" t="n">
        <v>27.3</v>
      </c>
      <c r="AA27" s="11" t="n">
        <v>316</v>
      </c>
      <c r="AB27" s="11" t="n">
        <v>0</v>
      </c>
      <c r="AC27" s="11" t="s">
        <v>123</v>
      </c>
      <c r="AD27" s="11" t="s">
        <v>108</v>
      </c>
    </row>
    <row r="28" customFormat="false" ht="15" hidden="false" customHeight="true" outlineLevel="0" collapsed="false">
      <c r="A28" s="5" t="n">
        <v>24</v>
      </c>
      <c r="B28" s="5" t="s">
        <v>124</v>
      </c>
      <c r="C28" s="5" t="s">
        <v>125</v>
      </c>
      <c r="D28" s="6" t="s">
        <v>126</v>
      </c>
      <c r="E28" s="5" t="s">
        <v>35</v>
      </c>
      <c r="F28" s="7" t="n">
        <v>5.92</v>
      </c>
      <c r="G28" s="7" t="n">
        <v>3.68</v>
      </c>
      <c r="H28" s="8" t="n">
        <v>0.2365625</v>
      </c>
      <c r="I28" s="8" t="n">
        <v>0.0231134259259259</v>
      </c>
      <c r="J28" s="8" t="n">
        <v>0.318981481481482</v>
      </c>
      <c r="K28" s="5" t="s">
        <v>36</v>
      </c>
      <c r="L28" s="9" t="n">
        <v>0.00390515046296296</v>
      </c>
      <c r="M28" s="9" t="n">
        <v>0.00541542824074074</v>
      </c>
      <c r="N28" s="5" t="n">
        <v>149</v>
      </c>
      <c r="O28" s="5" t="n">
        <v>186</v>
      </c>
      <c r="P28" s="5" t="n">
        <v>1026</v>
      </c>
      <c r="Q28" s="5" t="n">
        <v>15</v>
      </c>
      <c r="R28" s="5" t="n">
        <v>1273</v>
      </c>
      <c r="S28" s="5" t="n">
        <v>2833</v>
      </c>
      <c r="T28" s="5" t="n">
        <v>15</v>
      </c>
      <c r="U28" s="5" t="n">
        <v>214</v>
      </c>
      <c r="V28" s="5"/>
      <c r="W28" s="5" t="n">
        <v>2294</v>
      </c>
      <c r="X28" s="5" t="s">
        <v>37</v>
      </c>
      <c r="Y28" s="5" t="s">
        <v>127</v>
      </c>
      <c r="Z28" s="10" t="n">
        <v>27</v>
      </c>
      <c r="AA28" s="5" t="n">
        <v>477</v>
      </c>
      <c r="AB28" s="5" t="n">
        <v>-14</v>
      </c>
      <c r="AC28" s="5"/>
      <c r="AD28" s="5"/>
    </row>
    <row r="29" customFormat="false" ht="15" hidden="false" customHeight="true" outlineLevel="0" collapsed="false">
      <c r="A29" s="5" t="n">
        <v>25</v>
      </c>
      <c r="B29" s="5" t="s">
        <v>128</v>
      </c>
      <c r="C29" s="5" t="s">
        <v>129</v>
      </c>
      <c r="D29" s="6" t="s">
        <v>126</v>
      </c>
      <c r="E29" s="5" t="s">
        <v>35</v>
      </c>
      <c r="F29" s="7" t="n">
        <v>4.8</v>
      </c>
      <c r="G29" s="7" t="n">
        <v>2.98</v>
      </c>
      <c r="H29" s="8" t="n">
        <v>0.13875</v>
      </c>
      <c r="I29" s="8" t="n">
        <v>0.0371643518518519</v>
      </c>
      <c r="J29" s="8" t="n">
        <v>0.14587962962963</v>
      </c>
      <c r="K29" s="5" t="s">
        <v>36</v>
      </c>
      <c r="L29" s="9" t="n">
        <v>0.0077599537037037</v>
      </c>
      <c r="M29" s="9" t="n">
        <v>0.00630001157407407</v>
      </c>
      <c r="N29" s="5" t="n">
        <v>132</v>
      </c>
      <c r="O29" s="5" t="n">
        <v>165</v>
      </c>
      <c r="P29" s="5" t="n">
        <v>12</v>
      </c>
      <c r="Q29" s="5" t="n">
        <v>1050</v>
      </c>
      <c r="R29" s="5" t="n">
        <v>1268</v>
      </c>
      <c r="S29" s="5" t="n">
        <v>2780</v>
      </c>
      <c r="T29" s="5" t="n">
        <v>25</v>
      </c>
      <c r="U29" s="5" t="n">
        <v>188</v>
      </c>
      <c r="V29" s="5"/>
      <c r="W29" s="5" t="n">
        <v>1012</v>
      </c>
      <c r="X29" s="5" t="s">
        <v>79</v>
      </c>
      <c r="Y29" s="5" t="s">
        <v>112</v>
      </c>
      <c r="Z29" s="10" t="n">
        <v>23</v>
      </c>
      <c r="AA29" s="5" t="n">
        <v>153</v>
      </c>
      <c r="AB29" s="5" t="n">
        <v>0</v>
      </c>
      <c r="AC29" s="5"/>
      <c r="AD29" s="5"/>
    </row>
    <row r="30" customFormat="false" ht="15" hidden="false" customHeight="true" outlineLevel="0" collapsed="false">
      <c r="A30" s="17"/>
      <c r="B30" s="17"/>
      <c r="C30" s="17"/>
      <c r="D30" s="18" t="s">
        <v>130</v>
      </c>
      <c r="E30" s="17"/>
      <c r="F30" s="19" t="n">
        <f aca="false">SUM(F5:F29)</f>
        <v>161.29</v>
      </c>
      <c r="G30" s="19" t="n">
        <f aca="false">SUM(G5:G29)</f>
        <v>100.2</v>
      </c>
      <c r="H30" s="20" t="n">
        <f aca="false">SUM(H5:H29)</f>
        <v>4.32056712962963</v>
      </c>
      <c r="I30" s="17"/>
      <c r="J30" s="17"/>
      <c r="K30" s="17"/>
      <c r="L30" s="17"/>
      <c r="M30" s="17"/>
      <c r="N30" s="17"/>
      <c r="O30" s="17"/>
      <c r="P30" s="18" t="n">
        <f aca="false">SUM(P5:P29)</f>
        <v>11567</v>
      </c>
      <c r="Q30" s="18" t="n">
        <f aca="false">SUM(Q5:Q29)</f>
        <v>11988</v>
      </c>
      <c r="R30" s="17"/>
      <c r="S30" s="17"/>
      <c r="T30" s="17"/>
      <c r="U30" s="17"/>
      <c r="V30" s="17"/>
      <c r="W30" s="18" t="n">
        <f aca="false">SUM(W5:W29)</f>
        <v>33874</v>
      </c>
      <c r="X30" s="17"/>
      <c r="Y30" s="17"/>
      <c r="Z30" s="17"/>
      <c r="AA30" s="17"/>
      <c r="AB30" s="17"/>
      <c r="AC30" s="17"/>
      <c r="AD30" s="17"/>
    </row>
    <row r="32" customFormat="false" ht="15" hidden="false" customHeight="true" outlineLevel="0" collapsed="false">
      <c r="A32" s="3" t="s">
        <v>131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1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26"/>
    <col collapsed="false" customWidth="true" hidden="false" outlineLevel="0" max="3" min="3" style="1" width="13"/>
    <col collapsed="false" customWidth="true" hidden="false" outlineLevel="0" max="4" min="4" style="1" width="12"/>
    <col collapsed="false" customWidth="true" hidden="false" outlineLevel="0" max="5" min="5" style="1" width="11"/>
    <col collapsed="false" customWidth="true" hidden="false" outlineLevel="0" max="6" min="6" style="1" width="10"/>
    <col collapsed="false" customWidth="true" hidden="false" outlineLevel="0" max="7" min="7" style="1" width="11"/>
    <col collapsed="false" customWidth="true" hidden="false" outlineLevel="0" max="8" min="8" style="1" width="10"/>
    <col collapsed="false" customWidth="true" hidden="false" outlineLevel="0" max="9" min="9" style="1" width="9"/>
    <col collapsed="false" customWidth="true" hidden="false" outlineLevel="0" max="10" min="10" style="1" width="12"/>
    <col collapsed="false" customWidth="true" hidden="false" outlineLevel="0" max="12" min="11" style="1" width="8"/>
    <col collapsed="false" customWidth="true" hidden="false" outlineLevel="0" max="14" min="13" style="1" width="10"/>
    <col collapsed="false" customWidth="true" hidden="false" outlineLevel="0" max="15" min="15" style="1" width="12"/>
    <col collapsed="false" customWidth="true" hidden="false" outlineLevel="0" max="16" min="16" style="1" width="9"/>
    <col collapsed="false" customWidth="true" hidden="false" outlineLevel="0" max="17" min="17" style="1" width="8"/>
    <col collapsed="false" customWidth="true" hidden="false" outlineLevel="0" max="18" min="18" style="1" width="10"/>
    <col collapsed="false" customWidth="true" hidden="false" outlineLevel="0" max="19" min="19" style="1" width="11"/>
    <col collapsed="false" customWidth="true" hidden="false" outlineLevel="0" max="20" min="20" style="1" width="13"/>
  </cols>
  <sheetData>
    <row r="1" customFormat="false" ht="17.25" hidden="false" customHeight="true" outlineLevel="0" collapsed="false">
      <c r="A1" s="2" t="s">
        <v>132</v>
      </c>
    </row>
    <row r="2" customFormat="false" ht="15" hidden="false" customHeight="true" outlineLevel="0" collapsed="false">
      <c r="A2" s="3" t="s">
        <v>133</v>
      </c>
    </row>
    <row r="4" customFormat="false" ht="31.5" hidden="false" customHeight="true" outlineLevel="0" collapsed="false">
      <c r="A4" s="4" t="s">
        <v>3</v>
      </c>
      <c r="B4" s="4" t="s">
        <v>5</v>
      </c>
      <c r="C4" s="4" t="s">
        <v>6</v>
      </c>
      <c r="D4" s="4" t="s">
        <v>134</v>
      </c>
      <c r="E4" s="4" t="s">
        <v>135</v>
      </c>
      <c r="F4" s="4" t="s">
        <v>9</v>
      </c>
      <c r="G4" s="4" t="s">
        <v>136</v>
      </c>
      <c r="H4" s="4" t="s">
        <v>7</v>
      </c>
      <c r="I4" s="4" t="s">
        <v>8</v>
      </c>
      <c r="J4" s="4" t="s">
        <v>12</v>
      </c>
      <c r="K4" s="4" t="s">
        <v>15</v>
      </c>
      <c r="L4" s="4" t="s">
        <v>16</v>
      </c>
      <c r="M4" s="4" t="s">
        <v>17</v>
      </c>
      <c r="N4" s="4" t="s">
        <v>18</v>
      </c>
      <c r="O4" s="4" t="s">
        <v>23</v>
      </c>
      <c r="P4" s="4" t="s">
        <v>137</v>
      </c>
      <c r="Q4" s="4" t="s">
        <v>24</v>
      </c>
      <c r="R4" s="4" t="s">
        <v>138</v>
      </c>
      <c r="S4" s="4" t="s">
        <v>10</v>
      </c>
      <c r="T4" s="4" t="s">
        <v>139</v>
      </c>
    </row>
    <row r="5" customFormat="false" ht="15" hidden="false" customHeight="true" outlineLevel="0" collapsed="false">
      <c r="A5" s="5" t="s">
        <v>32</v>
      </c>
      <c r="B5" s="6" t="s">
        <v>34</v>
      </c>
      <c r="C5" s="5" t="s">
        <v>35</v>
      </c>
      <c r="D5" s="5" t="s">
        <v>140</v>
      </c>
      <c r="E5" s="5"/>
      <c r="F5" s="8" t="n">
        <v>0.149178240740741</v>
      </c>
      <c r="G5" s="8" t="n">
        <v>0.149178240740741</v>
      </c>
      <c r="H5" s="7" t="n">
        <v>4.31</v>
      </c>
      <c r="I5" s="7" t="n">
        <v>2.68</v>
      </c>
      <c r="J5" s="5" t="s">
        <v>141</v>
      </c>
      <c r="K5" s="5" t="s">
        <v>142</v>
      </c>
      <c r="L5" s="5" t="s">
        <v>143</v>
      </c>
      <c r="M5" s="5" t="n">
        <v>770</v>
      </c>
      <c r="N5" s="5" t="n">
        <v>131</v>
      </c>
      <c r="O5" s="5"/>
      <c r="P5" s="5" t="s">
        <v>144</v>
      </c>
      <c r="Q5" s="5" t="s">
        <v>145</v>
      </c>
      <c r="R5" s="5" t="s">
        <v>146</v>
      </c>
      <c r="S5" s="8" t="n">
        <v>0.0161342592592593</v>
      </c>
      <c r="T5" s="5" t="s">
        <v>147</v>
      </c>
    </row>
    <row r="6" customFormat="false" ht="15" hidden="false" customHeight="true" outlineLevel="0" collapsed="false">
      <c r="A6" s="5" t="s">
        <v>32</v>
      </c>
      <c r="B6" s="6" t="s">
        <v>34</v>
      </c>
      <c r="C6" s="5" t="s">
        <v>35</v>
      </c>
      <c r="D6" s="5" t="s">
        <v>148</v>
      </c>
      <c r="E6" s="5"/>
      <c r="F6" s="8" t="n">
        <v>0.000168981481481482</v>
      </c>
      <c r="G6" s="8" t="n">
        <v>0.149351851851852</v>
      </c>
      <c r="H6" s="7" t="n">
        <v>0</v>
      </c>
      <c r="I6" s="7" t="n">
        <v>0</v>
      </c>
      <c r="J6" s="5" t="s">
        <v>141</v>
      </c>
      <c r="K6" s="5" t="s">
        <v>149</v>
      </c>
      <c r="L6" s="5" t="s">
        <v>150</v>
      </c>
      <c r="M6" s="5" t="n">
        <v>0</v>
      </c>
      <c r="N6" s="5" t="n">
        <v>0</v>
      </c>
      <c r="O6" s="5"/>
      <c r="P6" s="5" t="s">
        <v>141</v>
      </c>
      <c r="Q6" s="5" t="s">
        <v>141</v>
      </c>
      <c r="R6" s="5" t="s">
        <v>141</v>
      </c>
      <c r="S6" s="8"/>
      <c r="T6" s="5"/>
    </row>
    <row r="7" customFormat="false" ht="15" hidden="false" customHeight="true" outlineLevel="0" collapsed="false">
      <c r="A7" s="5" t="s">
        <v>32</v>
      </c>
      <c r="B7" s="6" t="s">
        <v>34</v>
      </c>
      <c r="C7" s="5" t="s">
        <v>35</v>
      </c>
      <c r="D7" s="5" t="s">
        <v>151</v>
      </c>
      <c r="E7" s="5"/>
      <c r="F7" s="8" t="n">
        <v>0.0319328703703704</v>
      </c>
      <c r="G7" s="8" t="n">
        <v>0.181284722222222</v>
      </c>
      <c r="H7" s="7" t="n">
        <v>0.9</v>
      </c>
      <c r="I7" s="7" t="n">
        <v>0.56</v>
      </c>
      <c r="J7" s="5" t="s">
        <v>141</v>
      </c>
      <c r="K7" s="5" t="s">
        <v>142</v>
      </c>
      <c r="L7" s="5" t="s">
        <v>152</v>
      </c>
      <c r="M7" s="5" t="n">
        <v>0</v>
      </c>
      <c r="N7" s="5" t="n">
        <v>224</v>
      </c>
      <c r="O7" s="5"/>
      <c r="P7" s="5" t="s">
        <v>151</v>
      </c>
      <c r="Q7" s="5" t="s">
        <v>153</v>
      </c>
      <c r="R7" s="5" t="s">
        <v>154</v>
      </c>
      <c r="S7" s="8" t="n">
        <v>0.00265046296296296</v>
      </c>
      <c r="T7" s="5" t="s">
        <v>155</v>
      </c>
    </row>
    <row r="8" customFormat="false" ht="15" hidden="false" customHeight="true" outlineLevel="0" collapsed="false">
      <c r="A8" s="5" t="s">
        <v>32</v>
      </c>
      <c r="B8" s="6" t="s">
        <v>34</v>
      </c>
      <c r="C8" s="5" t="s">
        <v>35</v>
      </c>
      <c r="D8" s="5" t="s">
        <v>156</v>
      </c>
      <c r="E8" s="5"/>
      <c r="F8" s="8" t="n">
        <v>0.0668055555555556</v>
      </c>
      <c r="G8" s="8" t="n">
        <v>0.248101851851852</v>
      </c>
      <c r="H8" s="7" t="n">
        <v>3.38</v>
      </c>
      <c r="I8" s="7" t="n">
        <v>2.1</v>
      </c>
      <c r="J8" s="5" t="s">
        <v>157</v>
      </c>
      <c r="K8" s="5" t="s">
        <v>158</v>
      </c>
      <c r="L8" s="5" t="s">
        <v>159</v>
      </c>
      <c r="M8" s="5" t="n">
        <v>5</v>
      </c>
      <c r="N8" s="5" t="n">
        <v>486</v>
      </c>
      <c r="O8" s="5"/>
      <c r="P8" s="5" t="s">
        <v>160</v>
      </c>
      <c r="Q8" s="5" t="s">
        <v>161</v>
      </c>
      <c r="R8" s="5" t="s">
        <v>162</v>
      </c>
      <c r="S8" s="8" t="n">
        <v>0.035462962962963</v>
      </c>
      <c r="T8" s="5" t="s">
        <v>163</v>
      </c>
    </row>
    <row r="9" customFormat="false" ht="15" hidden="false" customHeight="true" outlineLevel="0" collapsed="false">
      <c r="A9" s="5" t="s">
        <v>39</v>
      </c>
      <c r="B9" s="6" t="s">
        <v>34</v>
      </c>
      <c r="C9" s="5" t="s">
        <v>35</v>
      </c>
      <c r="D9" s="5" t="s">
        <v>140</v>
      </c>
      <c r="E9" s="5"/>
      <c r="F9" s="8" t="n">
        <v>0.0148148148148148</v>
      </c>
      <c r="G9" s="8" t="n">
        <v>0.0148148148148148</v>
      </c>
      <c r="H9" s="7" t="n">
        <v>0.85</v>
      </c>
      <c r="I9" s="7" t="n">
        <v>0.53</v>
      </c>
      <c r="J9" s="5" t="s">
        <v>164</v>
      </c>
      <c r="K9" s="5" t="s">
        <v>165</v>
      </c>
      <c r="L9" s="5" t="s">
        <v>166</v>
      </c>
      <c r="M9" s="5" t="n">
        <v>74</v>
      </c>
      <c r="N9" s="5" t="n">
        <v>0</v>
      </c>
      <c r="O9" s="5"/>
      <c r="P9" s="5" t="s">
        <v>167</v>
      </c>
      <c r="Q9" s="5" t="s">
        <v>168</v>
      </c>
      <c r="R9" s="5" t="s">
        <v>169</v>
      </c>
      <c r="S9" s="8" t="n">
        <v>0.0025462962962963</v>
      </c>
      <c r="T9" s="5" t="s">
        <v>170</v>
      </c>
    </row>
    <row r="10" customFormat="false" ht="15" hidden="false" customHeight="true" outlineLevel="0" collapsed="false">
      <c r="A10" s="5" t="s">
        <v>39</v>
      </c>
      <c r="B10" s="6" t="s">
        <v>34</v>
      </c>
      <c r="C10" s="5" t="s">
        <v>35</v>
      </c>
      <c r="D10" s="5" t="s">
        <v>148</v>
      </c>
      <c r="E10" s="5"/>
      <c r="F10" s="8" t="n">
        <v>0.0567592592592593</v>
      </c>
      <c r="G10" s="8" t="n">
        <v>0.0715740740740741</v>
      </c>
      <c r="H10" s="7" t="n">
        <v>1.92</v>
      </c>
      <c r="I10" s="7" t="n">
        <v>1.19</v>
      </c>
      <c r="J10" s="5" t="s">
        <v>141</v>
      </c>
      <c r="K10" s="5" t="s">
        <v>171</v>
      </c>
      <c r="L10" s="5" t="s">
        <v>172</v>
      </c>
      <c r="M10" s="5" t="n">
        <v>314</v>
      </c>
      <c r="N10" s="5" t="n">
        <v>0</v>
      </c>
      <c r="O10" s="5"/>
      <c r="P10" s="5" t="s">
        <v>156</v>
      </c>
      <c r="Q10" s="5" t="s">
        <v>173</v>
      </c>
      <c r="R10" s="5" t="s">
        <v>174</v>
      </c>
      <c r="S10" s="8" t="n">
        <v>0.00489583333333333</v>
      </c>
      <c r="T10" s="5" t="s">
        <v>175</v>
      </c>
    </row>
    <row r="11" customFormat="false" ht="15" hidden="false" customHeight="true" outlineLevel="0" collapsed="false">
      <c r="A11" s="5" t="s">
        <v>39</v>
      </c>
      <c r="B11" s="6" t="s">
        <v>34</v>
      </c>
      <c r="C11" s="5" t="s">
        <v>35</v>
      </c>
      <c r="D11" s="5" t="s">
        <v>151</v>
      </c>
      <c r="E11" s="5"/>
      <c r="F11" s="8" t="n">
        <v>0.325532407407407</v>
      </c>
      <c r="G11" s="8" t="n">
        <v>0.397106481481482</v>
      </c>
      <c r="H11" s="7" t="n">
        <v>6.41</v>
      </c>
      <c r="I11" s="7" t="n">
        <v>3.98</v>
      </c>
      <c r="J11" s="5" t="s">
        <v>141</v>
      </c>
      <c r="K11" s="5" t="s">
        <v>176</v>
      </c>
      <c r="L11" s="5" t="s">
        <v>177</v>
      </c>
      <c r="M11" s="5" t="n">
        <v>1100</v>
      </c>
      <c r="N11" s="5" t="n">
        <v>16</v>
      </c>
      <c r="O11" s="5"/>
      <c r="P11" s="5" t="s">
        <v>148</v>
      </c>
      <c r="Q11" s="5" t="s">
        <v>178</v>
      </c>
      <c r="R11" s="5" t="s">
        <v>179</v>
      </c>
      <c r="S11" s="8" t="n">
        <v>0.00378472222222222</v>
      </c>
      <c r="T11" s="5" t="s">
        <v>180</v>
      </c>
    </row>
    <row r="12" customFormat="false" ht="15" hidden="false" customHeight="true" outlineLevel="0" collapsed="false">
      <c r="A12" s="5" t="s">
        <v>42</v>
      </c>
      <c r="B12" s="6" t="s">
        <v>44</v>
      </c>
      <c r="C12" s="5" t="s">
        <v>35</v>
      </c>
      <c r="D12" s="5" t="s">
        <v>140</v>
      </c>
      <c r="E12" s="5"/>
      <c r="F12" s="8" t="n">
        <v>0.0597569444444445</v>
      </c>
      <c r="G12" s="8" t="n">
        <v>0.0597569444444445</v>
      </c>
      <c r="H12" s="7" t="n">
        <v>0.03</v>
      </c>
      <c r="I12" s="7" t="n">
        <v>0.02</v>
      </c>
      <c r="J12" s="5" t="s">
        <v>141</v>
      </c>
      <c r="K12" s="5"/>
      <c r="L12" s="5"/>
      <c r="M12" s="5" t="n">
        <v>0</v>
      </c>
      <c r="N12" s="5" t="n">
        <v>186</v>
      </c>
      <c r="O12" s="5"/>
      <c r="P12" s="5" t="s">
        <v>140</v>
      </c>
      <c r="Q12" s="5" t="s">
        <v>148</v>
      </c>
      <c r="R12" s="5" t="s">
        <v>181</v>
      </c>
      <c r="S12" s="8" t="n">
        <v>0.000381944444444445</v>
      </c>
      <c r="T12" s="5" t="s">
        <v>182</v>
      </c>
    </row>
    <row r="13" customFormat="false" ht="15" hidden="false" customHeight="true" outlineLevel="0" collapsed="false">
      <c r="A13" s="5" t="s">
        <v>42</v>
      </c>
      <c r="B13" s="6" t="s">
        <v>44</v>
      </c>
      <c r="C13" s="5" t="s">
        <v>35</v>
      </c>
      <c r="D13" s="5" t="s">
        <v>140</v>
      </c>
      <c r="E13" s="5"/>
      <c r="F13" s="8" t="n">
        <v>0.151087962962963</v>
      </c>
      <c r="G13" s="8" t="n">
        <v>0.151087962962963</v>
      </c>
      <c r="H13" s="7" t="n">
        <v>0.23</v>
      </c>
      <c r="I13" s="7" t="n">
        <v>0.14</v>
      </c>
      <c r="J13" s="5" t="s">
        <v>141</v>
      </c>
      <c r="K13" s="5" t="s">
        <v>158</v>
      </c>
      <c r="L13" s="5" t="s">
        <v>183</v>
      </c>
      <c r="M13" s="5" t="n">
        <v>0</v>
      </c>
      <c r="N13" s="5" t="n">
        <v>847</v>
      </c>
      <c r="O13" s="5"/>
      <c r="P13" s="5" t="s">
        <v>151</v>
      </c>
      <c r="Q13" s="5" t="s">
        <v>184</v>
      </c>
      <c r="R13" s="5" t="s">
        <v>185</v>
      </c>
      <c r="S13" s="8" t="n">
        <v>0.00239583333333333</v>
      </c>
      <c r="T13" s="5" t="s">
        <v>186</v>
      </c>
    </row>
    <row r="14" customFormat="false" ht="15" hidden="false" customHeight="true" outlineLevel="0" collapsed="false">
      <c r="A14" s="5" t="s">
        <v>42</v>
      </c>
      <c r="B14" s="6" t="s">
        <v>34</v>
      </c>
      <c r="C14" s="5" t="s">
        <v>35</v>
      </c>
      <c r="D14" s="5" t="s">
        <v>140</v>
      </c>
      <c r="E14" s="5"/>
      <c r="F14" s="8" t="n">
        <v>0.0838773148148148</v>
      </c>
      <c r="G14" s="8" t="n">
        <v>0.0838773148148148</v>
      </c>
      <c r="H14" s="7" t="n">
        <v>0.6</v>
      </c>
      <c r="I14" s="7" t="n">
        <v>0.37</v>
      </c>
      <c r="J14" s="5" t="s">
        <v>141</v>
      </c>
      <c r="K14" s="5" t="s">
        <v>187</v>
      </c>
      <c r="L14" s="5" t="s">
        <v>188</v>
      </c>
      <c r="M14" s="5" t="n">
        <v>0</v>
      </c>
      <c r="N14" s="5" t="n">
        <v>397</v>
      </c>
      <c r="O14" s="5"/>
      <c r="P14" s="5" t="s">
        <v>189</v>
      </c>
      <c r="Q14" s="5" t="s">
        <v>190</v>
      </c>
      <c r="R14" s="5" t="s">
        <v>191</v>
      </c>
      <c r="S14" s="8" t="n">
        <v>0.00342592592592593</v>
      </c>
      <c r="T14" s="5" t="s">
        <v>192</v>
      </c>
    </row>
    <row r="15" customFormat="false" ht="15" hidden="false" customHeight="true" outlineLevel="0" collapsed="false">
      <c r="A15" s="5" t="s">
        <v>52</v>
      </c>
      <c r="B15" s="6" t="s">
        <v>54</v>
      </c>
      <c r="C15" s="5" t="s">
        <v>35</v>
      </c>
      <c r="D15" s="5" t="s">
        <v>140</v>
      </c>
      <c r="E15" s="5"/>
      <c r="F15" s="8" t="n">
        <v>0.071087962962963</v>
      </c>
      <c r="G15" s="8" t="n">
        <v>0.071087962962963</v>
      </c>
      <c r="H15" s="7" t="n">
        <v>2.95</v>
      </c>
      <c r="I15" s="7" t="n">
        <v>1.83</v>
      </c>
      <c r="J15" s="5" t="s">
        <v>193</v>
      </c>
      <c r="K15" s="5" t="s">
        <v>194</v>
      </c>
      <c r="L15" s="5" t="s">
        <v>195</v>
      </c>
      <c r="M15" s="5" t="n">
        <v>201</v>
      </c>
      <c r="N15" s="5" t="n">
        <v>35</v>
      </c>
      <c r="O15" s="5"/>
      <c r="P15" s="5" t="s">
        <v>196</v>
      </c>
      <c r="Q15" s="5" t="s">
        <v>197</v>
      </c>
      <c r="R15" s="5" t="s">
        <v>198</v>
      </c>
      <c r="S15" s="8" t="n">
        <v>0.0191550925925926</v>
      </c>
      <c r="T15" s="5" t="s">
        <v>199</v>
      </c>
    </row>
    <row r="16" customFormat="false" ht="15" hidden="false" customHeight="true" outlineLevel="0" collapsed="false">
      <c r="A16" s="5" t="s">
        <v>57</v>
      </c>
      <c r="B16" s="6" t="s">
        <v>59</v>
      </c>
      <c r="C16" s="5" t="s">
        <v>35</v>
      </c>
      <c r="D16" s="5" t="s">
        <v>140</v>
      </c>
      <c r="E16" s="5"/>
      <c r="F16" s="8" t="n">
        <v>0.191238425925926</v>
      </c>
      <c r="G16" s="8" t="n">
        <v>0.191238425925926</v>
      </c>
      <c r="H16" s="7" t="n">
        <v>2.56</v>
      </c>
      <c r="I16" s="7" t="n">
        <v>1.59</v>
      </c>
      <c r="J16" s="5" t="s">
        <v>141</v>
      </c>
      <c r="K16" s="5" t="s">
        <v>200</v>
      </c>
      <c r="L16" s="5" t="s">
        <v>201</v>
      </c>
      <c r="M16" s="5" t="n">
        <v>198</v>
      </c>
      <c r="N16" s="5" t="n">
        <v>202</v>
      </c>
      <c r="O16" s="5"/>
      <c r="P16" s="5" t="s">
        <v>189</v>
      </c>
      <c r="Q16" s="5" t="s">
        <v>202</v>
      </c>
      <c r="R16" s="5" t="s">
        <v>203</v>
      </c>
      <c r="S16" s="8" t="n">
        <v>0.00924768518518519</v>
      </c>
      <c r="T16" s="5" t="s">
        <v>204</v>
      </c>
    </row>
    <row r="17" customFormat="false" ht="15" hidden="false" customHeight="true" outlineLevel="0" collapsed="false">
      <c r="A17" s="5" t="s">
        <v>62</v>
      </c>
      <c r="B17" s="6" t="s">
        <v>64</v>
      </c>
      <c r="C17" s="5" t="s">
        <v>35</v>
      </c>
      <c r="D17" s="5" t="s">
        <v>140</v>
      </c>
      <c r="E17" s="5"/>
      <c r="F17" s="8" t="n">
        <v>0.188738425925926</v>
      </c>
      <c r="G17" s="8" t="n">
        <v>0.188738425925926</v>
      </c>
      <c r="H17" s="7" t="n">
        <v>4.2</v>
      </c>
      <c r="I17" s="7" t="n">
        <v>2.61</v>
      </c>
      <c r="J17" s="5" t="s">
        <v>141</v>
      </c>
      <c r="K17" s="5" t="s">
        <v>205</v>
      </c>
      <c r="L17" s="5" t="s">
        <v>206</v>
      </c>
      <c r="M17" s="5" t="n">
        <v>689</v>
      </c>
      <c r="N17" s="5" t="n">
        <v>3</v>
      </c>
      <c r="O17" s="5"/>
      <c r="P17" s="5" t="s">
        <v>144</v>
      </c>
      <c r="Q17" s="5" t="s">
        <v>207</v>
      </c>
      <c r="R17" s="5" t="s">
        <v>208</v>
      </c>
      <c r="S17" s="8" t="n">
        <v>0.00791666666666667</v>
      </c>
      <c r="T17" s="5" t="s">
        <v>209</v>
      </c>
    </row>
    <row r="18" customFormat="false" ht="15" hidden="false" customHeight="true" outlineLevel="0" collapsed="false">
      <c r="A18" s="5" t="s">
        <v>62</v>
      </c>
      <c r="B18" s="6" t="s">
        <v>64</v>
      </c>
      <c r="C18" s="5" t="s">
        <v>35</v>
      </c>
      <c r="D18" s="5" t="s">
        <v>148</v>
      </c>
      <c r="E18" s="5"/>
      <c r="F18" s="8" t="n">
        <v>3.47222222222222E-005</v>
      </c>
      <c r="G18" s="8" t="n">
        <v>0.188773148148148</v>
      </c>
      <c r="H18" s="7" t="n">
        <v>0</v>
      </c>
      <c r="I18" s="7" t="n">
        <v>0</v>
      </c>
      <c r="J18" s="5" t="s">
        <v>141</v>
      </c>
      <c r="K18" s="5" t="s">
        <v>210</v>
      </c>
      <c r="L18" s="5" t="s">
        <v>210</v>
      </c>
      <c r="M18" s="5" t="n">
        <v>0</v>
      </c>
      <c r="N18" s="5" t="n">
        <v>0</v>
      </c>
      <c r="O18" s="5"/>
      <c r="P18" s="5" t="s">
        <v>141</v>
      </c>
      <c r="Q18" s="5" t="s">
        <v>141</v>
      </c>
      <c r="R18" s="5" t="s">
        <v>141</v>
      </c>
      <c r="S18" s="8"/>
      <c r="T18" s="5"/>
    </row>
    <row r="19" customFormat="false" ht="15" hidden="false" customHeight="true" outlineLevel="0" collapsed="false">
      <c r="A19" s="5" t="s">
        <v>62</v>
      </c>
      <c r="B19" s="6" t="s">
        <v>64</v>
      </c>
      <c r="C19" s="5" t="s">
        <v>35</v>
      </c>
      <c r="D19" s="5" t="s">
        <v>151</v>
      </c>
      <c r="E19" s="5"/>
      <c r="F19" s="8" t="n">
        <v>8.10185185185185E-006</v>
      </c>
      <c r="G19" s="8" t="n">
        <v>0.188784722222222</v>
      </c>
      <c r="H19" s="7" t="n">
        <v>0</v>
      </c>
      <c r="I19" s="7" t="n">
        <v>0</v>
      </c>
      <c r="J19" s="5" t="s">
        <v>141</v>
      </c>
      <c r="K19" s="5" t="s">
        <v>211</v>
      </c>
      <c r="L19" s="5" t="s">
        <v>211</v>
      </c>
      <c r="M19" s="5" t="n">
        <v>0</v>
      </c>
      <c r="N19" s="5" t="n">
        <v>0</v>
      </c>
      <c r="O19" s="5"/>
      <c r="P19" s="5" t="s">
        <v>141</v>
      </c>
      <c r="Q19" s="5" t="s">
        <v>141</v>
      </c>
      <c r="R19" s="5" t="s">
        <v>141</v>
      </c>
      <c r="S19" s="8"/>
      <c r="T19" s="5"/>
    </row>
    <row r="20" customFormat="false" ht="15" hidden="false" customHeight="true" outlineLevel="0" collapsed="false">
      <c r="A20" s="5" t="s">
        <v>62</v>
      </c>
      <c r="B20" s="6" t="s">
        <v>64</v>
      </c>
      <c r="C20" s="5" t="s">
        <v>35</v>
      </c>
      <c r="D20" s="5" t="s">
        <v>156</v>
      </c>
      <c r="E20" s="5"/>
      <c r="F20" s="8" t="n">
        <v>0.110416666666667</v>
      </c>
      <c r="G20" s="8" t="n">
        <v>0.299201388888889</v>
      </c>
      <c r="H20" s="7" t="n">
        <v>2.66</v>
      </c>
      <c r="I20" s="7" t="n">
        <v>1.65</v>
      </c>
      <c r="J20" s="5" t="s">
        <v>141</v>
      </c>
      <c r="K20" s="5" t="s">
        <v>158</v>
      </c>
      <c r="L20" s="5" t="s">
        <v>212</v>
      </c>
      <c r="M20" s="5" t="n">
        <v>521</v>
      </c>
      <c r="N20" s="5" t="n">
        <v>3</v>
      </c>
      <c r="O20" s="5"/>
      <c r="P20" s="5" t="s">
        <v>213</v>
      </c>
      <c r="Q20" s="5" t="s">
        <v>214</v>
      </c>
      <c r="R20" s="5" t="s">
        <v>215</v>
      </c>
      <c r="S20" s="8" t="n">
        <v>0.0062037037037037</v>
      </c>
      <c r="T20" s="5" t="s">
        <v>216</v>
      </c>
    </row>
    <row r="21" customFormat="false" ht="15" hidden="false" customHeight="true" outlineLevel="0" collapsed="false">
      <c r="A21" s="5" t="s">
        <v>65</v>
      </c>
      <c r="B21" s="6" t="s">
        <v>64</v>
      </c>
      <c r="C21" s="5" t="s">
        <v>35</v>
      </c>
      <c r="D21" s="5" t="s">
        <v>140</v>
      </c>
      <c r="E21" s="5"/>
      <c r="F21" s="8" t="n">
        <v>0.0654513888888889</v>
      </c>
      <c r="G21" s="8" t="n">
        <v>0.0654513888888889</v>
      </c>
      <c r="H21" s="7" t="n">
        <v>2.38</v>
      </c>
      <c r="I21" s="7" t="n">
        <v>1.48</v>
      </c>
      <c r="J21" s="5" t="s">
        <v>141</v>
      </c>
      <c r="K21" s="5" t="s">
        <v>217</v>
      </c>
      <c r="L21" s="5" t="s">
        <v>212</v>
      </c>
      <c r="M21" s="5" t="n">
        <v>2</v>
      </c>
      <c r="N21" s="5" t="n">
        <v>569</v>
      </c>
      <c r="O21" s="5"/>
      <c r="P21" s="5" t="s">
        <v>218</v>
      </c>
      <c r="Q21" s="5" t="s">
        <v>219</v>
      </c>
      <c r="R21" s="5" t="s">
        <v>220</v>
      </c>
      <c r="S21" s="8" t="n">
        <v>0.0141203703703704</v>
      </c>
      <c r="T21" s="5" t="s">
        <v>221</v>
      </c>
    </row>
    <row r="22" customFormat="false" ht="15" hidden="false" customHeight="true" outlineLevel="0" collapsed="false">
      <c r="A22" s="5" t="s">
        <v>65</v>
      </c>
      <c r="B22" s="6" t="s">
        <v>64</v>
      </c>
      <c r="C22" s="5" t="s">
        <v>35</v>
      </c>
      <c r="D22" s="5" t="s">
        <v>148</v>
      </c>
      <c r="E22" s="5"/>
      <c r="F22" s="8" t="n">
        <v>7.75462962962963E-005</v>
      </c>
      <c r="G22" s="8" t="n">
        <v>0.0655324074074074</v>
      </c>
      <c r="H22" s="7" t="n">
        <v>0</v>
      </c>
      <c r="I22" s="7" t="n">
        <v>0</v>
      </c>
      <c r="J22" s="5" t="s">
        <v>141</v>
      </c>
      <c r="K22" s="5"/>
      <c r="L22" s="5"/>
      <c r="M22" s="5" t="n">
        <v>0</v>
      </c>
      <c r="N22" s="5" t="n">
        <v>0</v>
      </c>
      <c r="O22" s="5"/>
      <c r="P22" s="5" t="s">
        <v>141</v>
      </c>
      <c r="Q22" s="5" t="s">
        <v>141</v>
      </c>
      <c r="R22" s="5" t="s">
        <v>141</v>
      </c>
      <c r="S22" s="8"/>
      <c r="T22" s="5"/>
    </row>
    <row r="23" customFormat="false" ht="15" hidden="false" customHeight="true" outlineLevel="0" collapsed="false">
      <c r="A23" s="5" t="s">
        <v>65</v>
      </c>
      <c r="B23" s="6" t="s">
        <v>64</v>
      </c>
      <c r="C23" s="5" t="s">
        <v>35</v>
      </c>
      <c r="D23" s="5" t="s">
        <v>151</v>
      </c>
      <c r="E23" s="5"/>
      <c r="F23" s="8" t="n">
        <v>0.0974074074074074</v>
      </c>
      <c r="G23" s="8" t="n">
        <v>0.162939814814815</v>
      </c>
      <c r="H23" s="7" t="n">
        <v>2.99</v>
      </c>
      <c r="I23" s="7" t="n">
        <v>1.86</v>
      </c>
      <c r="J23" s="5" t="s">
        <v>141</v>
      </c>
      <c r="K23" s="5" t="s">
        <v>222</v>
      </c>
      <c r="L23" s="5" t="s">
        <v>223</v>
      </c>
      <c r="M23" s="5" t="n">
        <v>0</v>
      </c>
      <c r="N23" s="5" t="n">
        <v>650</v>
      </c>
      <c r="O23" s="5"/>
      <c r="P23" s="5" t="s">
        <v>224</v>
      </c>
      <c r="Q23" s="5" t="s">
        <v>225</v>
      </c>
      <c r="R23" s="5" t="s">
        <v>226</v>
      </c>
      <c r="S23" s="8" t="n">
        <v>0.0166898148148148</v>
      </c>
      <c r="T23" s="5" t="s">
        <v>227</v>
      </c>
    </row>
    <row r="24" customFormat="false" ht="15" hidden="false" customHeight="true" outlineLevel="0" collapsed="false">
      <c r="A24" s="5" t="s">
        <v>65</v>
      </c>
      <c r="B24" s="6" t="s">
        <v>64</v>
      </c>
      <c r="C24" s="5" t="s">
        <v>35</v>
      </c>
      <c r="D24" s="5" t="s">
        <v>140</v>
      </c>
      <c r="E24" s="5"/>
      <c r="F24" s="8" t="n">
        <v>0.119780092592593</v>
      </c>
      <c r="G24" s="8" t="n">
        <v>0.119780092592593</v>
      </c>
      <c r="H24" s="7" t="n">
        <v>2.43</v>
      </c>
      <c r="I24" s="7" t="n">
        <v>1.51</v>
      </c>
      <c r="J24" s="5" t="s">
        <v>141</v>
      </c>
      <c r="K24" s="5" t="s">
        <v>211</v>
      </c>
      <c r="L24" s="5" t="s">
        <v>201</v>
      </c>
      <c r="M24" s="5" t="n">
        <v>426</v>
      </c>
      <c r="N24" s="5" t="n">
        <v>29</v>
      </c>
      <c r="O24" s="5"/>
      <c r="P24" s="5" t="s">
        <v>156</v>
      </c>
      <c r="Q24" s="5" t="s">
        <v>228</v>
      </c>
      <c r="R24" s="5" t="s">
        <v>191</v>
      </c>
      <c r="S24" s="8" t="n">
        <v>0.00481481481481482</v>
      </c>
      <c r="T24" s="5" t="s">
        <v>229</v>
      </c>
    </row>
    <row r="25" customFormat="false" ht="15" hidden="false" customHeight="true" outlineLevel="0" collapsed="false">
      <c r="A25" s="5" t="s">
        <v>65</v>
      </c>
      <c r="B25" s="6" t="s">
        <v>64</v>
      </c>
      <c r="C25" s="5" t="s">
        <v>35</v>
      </c>
      <c r="D25" s="5" t="s">
        <v>140</v>
      </c>
      <c r="E25" s="5"/>
      <c r="F25" s="8" t="n">
        <v>0.0423032407407407</v>
      </c>
      <c r="G25" s="8" t="n">
        <v>0.0423032407407407</v>
      </c>
      <c r="H25" s="7" t="n">
        <v>1.13</v>
      </c>
      <c r="I25" s="7" t="n">
        <v>0.7</v>
      </c>
      <c r="J25" s="5" t="s">
        <v>141</v>
      </c>
      <c r="K25" s="5" t="s">
        <v>230</v>
      </c>
      <c r="L25" s="5" t="s">
        <v>231</v>
      </c>
      <c r="M25" s="5" t="n">
        <v>1</v>
      </c>
      <c r="N25" s="5" t="n">
        <v>310</v>
      </c>
      <c r="O25" s="5"/>
      <c r="P25" s="5" t="s">
        <v>232</v>
      </c>
      <c r="Q25" s="5" t="s">
        <v>233</v>
      </c>
      <c r="R25" s="5" t="s">
        <v>234</v>
      </c>
      <c r="S25" s="8" t="n">
        <v>0.0103240740740741</v>
      </c>
      <c r="T25" s="5" t="s">
        <v>235</v>
      </c>
    </row>
    <row r="26" customFormat="false" ht="15" hidden="false" customHeight="true" outlineLevel="0" collapsed="false">
      <c r="A26" s="5" t="s">
        <v>73</v>
      </c>
      <c r="B26" s="6" t="s">
        <v>74</v>
      </c>
      <c r="C26" s="5" t="s">
        <v>35</v>
      </c>
      <c r="D26" s="5" t="s">
        <v>140</v>
      </c>
      <c r="E26" s="5"/>
      <c r="F26" s="8" t="n">
        <v>0.227002314814815</v>
      </c>
      <c r="G26" s="8" t="n">
        <v>0.227002314814815</v>
      </c>
      <c r="H26" s="7" t="n">
        <v>5.34</v>
      </c>
      <c r="I26" s="7" t="n">
        <v>3.32</v>
      </c>
      <c r="J26" s="5" t="s">
        <v>141</v>
      </c>
      <c r="K26" s="5" t="s">
        <v>236</v>
      </c>
      <c r="L26" s="5" t="s">
        <v>166</v>
      </c>
      <c r="M26" s="5" t="n">
        <v>865</v>
      </c>
      <c r="N26" s="5" t="n">
        <v>4</v>
      </c>
      <c r="O26" s="5"/>
      <c r="P26" s="5" t="s">
        <v>167</v>
      </c>
      <c r="Q26" s="5" t="s">
        <v>237</v>
      </c>
      <c r="R26" s="5" t="s">
        <v>226</v>
      </c>
      <c r="S26" s="8" t="n">
        <v>0.0134143518518519</v>
      </c>
      <c r="T26" s="5" t="s">
        <v>238</v>
      </c>
    </row>
    <row r="27" customFormat="false" ht="15" hidden="false" customHeight="true" outlineLevel="0" collapsed="false">
      <c r="A27" s="5" t="s">
        <v>77</v>
      </c>
      <c r="B27" s="6" t="s">
        <v>74</v>
      </c>
      <c r="C27" s="5" t="s">
        <v>35</v>
      </c>
      <c r="D27" s="5" t="s">
        <v>140</v>
      </c>
      <c r="E27" s="5"/>
      <c r="F27" s="8" t="n">
        <v>0.127835648148148</v>
      </c>
      <c r="G27" s="8" t="n">
        <v>0.127835648148148</v>
      </c>
      <c r="H27" s="7" t="n">
        <v>3.69</v>
      </c>
      <c r="I27" s="7" t="n">
        <v>2.29</v>
      </c>
      <c r="J27" s="5" t="s">
        <v>141</v>
      </c>
      <c r="K27" s="5" t="s">
        <v>150</v>
      </c>
      <c r="L27" s="5" t="s">
        <v>239</v>
      </c>
      <c r="M27" s="5" t="n">
        <v>0</v>
      </c>
      <c r="N27" s="5" t="n">
        <v>857</v>
      </c>
      <c r="O27" s="5"/>
      <c r="P27" s="5" t="s">
        <v>240</v>
      </c>
      <c r="Q27" s="5" t="s">
        <v>241</v>
      </c>
      <c r="R27" s="5" t="s">
        <v>242</v>
      </c>
      <c r="S27" s="8" t="n">
        <v>0.0187268518518519</v>
      </c>
      <c r="T27" s="5" t="s">
        <v>243</v>
      </c>
    </row>
    <row r="28" customFormat="false" ht="15" hidden="false" customHeight="true" outlineLevel="0" collapsed="false">
      <c r="A28" s="5" t="s">
        <v>77</v>
      </c>
      <c r="B28" s="6" t="s">
        <v>74</v>
      </c>
      <c r="C28" s="5" t="s">
        <v>35</v>
      </c>
      <c r="D28" s="5" t="s">
        <v>140</v>
      </c>
      <c r="E28" s="5"/>
      <c r="F28" s="8" t="n">
        <v>0.151111111111111</v>
      </c>
      <c r="G28" s="8" t="n">
        <v>0.151111111111111</v>
      </c>
      <c r="H28" s="7" t="n">
        <v>2.53</v>
      </c>
      <c r="I28" s="7" t="n">
        <v>1.57</v>
      </c>
      <c r="J28" s="5" t="s">
        <v>141</v>
      </c>
      <c r="K28" s="5" t="s">
        <v>244</v>
      </c>
      <c r="L28" s="5" t="s">
        <v>172</v>
      </c>
      <c r="M28" s="5" t="n">
        <v>627</v>
      </c>
      <c r="N28" s="5" t="n">
        <v>2</v>
      </c>
      <c r="O28" s="5"/>
      <c r="P28" s="5" t="s">
        <v>189</v>
      </c>
      <c r="Q28" s="5" t="s">
        <v>245</v>
      </c>
      <c r="R28" s="5" t="s">
        <v>246</v>
      </c>
      <c r="S28" s="8" t="n">
        <v>0.00362268518518519</v>
      </c>
      <c r="T28" s="5" t="s">
        <v>247</v>
      </c>
    </row>
    <row r="29" customFormat="false" ht="15" hidden="false" customHeight="true" outlineLevel="0" collapsed="false">
      <c r="A29" s="5" t="s">
        <v>77</v>
      </c>
      <c r="B29" s="6" t="s">
        <v>74</v>
      </c>
      <c r="C29" s="5" t="s">
        <v>35</v>
      </c>
      <c r="D29" s="5" t="s">
        <v>140</v>
      </c>
      <c r="E29" s="5"/>
      <c r="F29" s="8" t="n">
        <v>0.0841435185185185</v>
      </c>
      <c r="G29" s="8" t="n">
        <v>0.0841435185185185</v>
      </c>
      <c r="H29" s="7" t="n">
        <v>2.25</v>
      </c>
      <c r="I29" s="7" t="n">
        <v>1.4</v>
      </c>
      <c r="J29" s="5" t="s">
        <v>141</v>
      </c>
      <c r="K29" s="5" t="s">
        <v>248</v>
      </c>
      <c r="L29" s="5" t="s">
        <v>171</v>
      </c>
      <c r="M29" s="5" t="n">
        <v>5</v>
      </c>
      <c r="N29" s="5" t="n">
        <v>584</v>
      </c>
      <c r="O29" s="5"/>
      <c r="P29" s="5" t="s">
        <v>249</v>
      </c>
      <c r="Q29" s="5" t="s">
        <v>250</v>
      </c>
      <c r="R29" s="5" t="s">
        <v>251</v>
      </c>
      <c r="S29" s="8" t="n">
        <v>0.00885416666666667</v>
      </c>
      <c r="T29" s="5" t="s">
        <v>252</v>
      </c>
    </row>
    <row r="30" customFormat="false" ht="15" hidden="false" customHeight="true" outlineLevel="0" collapsed="false">
      <c r="A30" s="5" t="s">
        <v>85</v>
      </c>
      <c r="B30" s="6" t="s">
        <v>54</v>
      </c>
      <c r="C30" s="5" t="s">
        <v>35</v>
      </c>
      <c r="D30" s="5" t="s">
        <v>140</v>
      </c>
      <c r="E30" s="5"/>
      <c r="F30" s="8" t="n">
        <v>0.103229166666667</v>
      </c>
      <c r="G30" s="8" t="n">
        <v>0.103229166666667</v>
      </c>
      <c r="H30" s="7" t="n">
        <v>7.44</v>
      </c>
      <c r="I30" s="7" t="n">
        <v>4.62</v>
      </c>
      <c r="J30" s="5" t="s">
        <v>253</v>
      </c>
      <c r="K30" s="5" t="s">
        <v>254</v>
      </c>
      <c r="L30" s="5" t="s">
        <v>188</v>
      </c>
      <c r="M30" s="5" t="n">
        <v>89</v>
      </c>
      <c r="N30" s="5" t="n">
        <v>498</v>
      </c>
      <c r="O30" s="5"/>
      <c r="P30" s="5" t="s">
        <v>255</v>
      </c>
      <c r="Q30" s="5" t="s">
        <v>256</v>
      </c>
      <c r="R30" s="5" t="s">
        <v>251</v>
      </c>
      <c r="S30" s="8" t="n">
        <v>0.0787037037037037</v>
      </c>
      <c r="T30" s="5" t="s">
        <v>257</v>
      </c>
    </row>
    <row r="31" customFormat="false" ht="15" hidden="false" customHeight="true" outlineLevel="0" collapsed="false">
      <c r="A31" s="5" t="s">
        <v>85</v>
      </c>
      <c r="B31" s="6" t="s">
        <v>54</v>
      </c>
      <c r="C31" s="5" t="s">
        <v>35</v>
      </c>
      <c r="D31" s="5" t="s">
        <v>140</v>
      </c>
      <c r="E31" s="5"/>
      <c r="F31" s="8" t="n">
        <v>0.117638888888889</v>
      </c>
      <c r="G31" s="8" t="n">
        <v>0.117638888888889</v>
      </c>
      <c r="H31" s="7" t="n">
        <v>7.58</v>
      </c>
      <c r="I31" s="7" t="n">
        <v>4.71</v>
      </c>
      <c r="J31" s="5" t="s">
        <v>258</v>
      </c>
      <c r="K31" s="5" t="s">
        <v>211</v>
      </c>
      <c r="L31" s="5" t="s">
        <v>172</v>
      </c>
      <c r="M31" s="5" t="n">
        <v>500</v>
      </c>
      <c r="N31" s="5" t="n">
        <v>86</v>
      </c>
      <c r="O31" s="5"/>
      <c r="P31" s="5" t="s">
        <v>259</v>
      </c>
      <c r="Q31" s="5" t="s">
        <v>260</v>
      </c>
      <c r="R31" s="5" t="s">
        <v>261</v>
      </c>
      <c r="S31" s="8" t="n">
        <v>0.0782407407407407</v>
      </c>
      <c r="T31" s="5" t="s">
        <v>262</v>
      </c>
    </row>
    <row r="32" customFormat="false" ht="15" hidden="false" customHeight="true" outlineLevel="0" collapsed="false">
      <c r="A32" s="5" t="s">
        <v>92</v>
      </c>
      <c r="B32" s="6" t="s">
        <v>54</v>
      </c>
      <c r="C32" s="5" t="s">
        <v>35</v>
      </c>
      <c r="D32" s="5" t="s">
        <v>140</v>
      </c>
      <c r="E32" s="5"/>
      <c r="F32" s="8" t="n">
        <v>0.172800925925926</v>
      </c>
      <c r="G32" s="8" t="n">
        <v>0.172800925925926</v>
      </c>
      <c r="H32" s="7" t="n">
        <v>13.79</v>
      </c>
      <c r="I32" s="7" t="n">
        <v>8.57</v>
      </c>
      <c r="J32" s="5" t="s">
        <v>263</v>
      </c>
      <c r="K32" s="5" t="s">
        <v>239</v>
      </c>
      <c r="L32" s="5" t="s">
        <v>172</v>
      </c>
      <c r="M32" s="5" t="n">
        <v>472</v>
      </c>
      <c r="N32" s="5" t="n">
        <v>968</v>
      </c>
      <c r="O32" s="5"/>
      <c r="P32" s="5" t="s">
        <v>264</v>
      </c>
      <c r="Q32" s="5" t="s">
        <v>265</v>
      </c>
      <c r="R32" s="5" t="s">
        <v>266</v>
      </c>
      <c r="S32" s="8" t="n">
        <v>0.119722222222222</v>
      </c>
      <c r="T32" s="5" t="s">
        <v>267</v>
      </c>
    </row>
    <row r="33" customFormat="false" ht="15" hidden="false" customHeight="true" outlineLevel="0" collapsed="false">
      <c r="A33" s="11" t="s">
        <v>96</v>
      </c>
      <c r="B33" s="12" t="s">
        <v>98</v>
      </c>
      <c r="C33" s="11" t="s">
        <v>99</v>
      </c>
      <c r="D33" s="11" t="s">
        <v>140</v>
      </c>
      <c r="E33" s="11" t="s">
        <v>268</v>
      </c>
      <c r="F33" s="14" t="n">
        <v>0.00347222222222222</v>
      </c>
      <c r="G33" s="14" t="n">
        <v>0.00347222222222222</v>
      </c>
      <c r="H33" s="13" t="n">
        <v>0.29</v>
      </c>
      <c r="I33" s="13" t="n">
        <v>0.18</v>
      </c>
      <c r="J33" s="11" t="s">
        <v>269</v>
      </c>
      <c r="K33" s="11" t="s">
        <v>149</v>
      </c>
      <c r="L33" s="11" t="s">
        <v>211</v>
      </c>
      <c r="M33" s="11" t="n">
        <v>23</v>
      </c>
      <c r="N33" s="11" t="n">
        <v>1</v>
      </c>
      <c r="O33" s="11" t="s">
        <v>270</v>
      </c>
      <c r="P33" s="11" t="s">
        <v>271</v>
      </c>
      <c r="Q33" s="11" t="s">
        <v>272</v>
      </c>
      <c r="R33" s="11" t="s">
        <v>273</v>
      </c>
      <c r="S33" s="14" t="n">
        <v>0.00321759259259259</v>
      </c>
      <c r="T33" s="11"/>
    </row>
    <row r="34" customFormat="false" ht="15" hidden="false" customHeight="true" outlineLevel="0" collapsed="false">
      <c r="A34" s="11" t="s">
        <v>96</v>
      </c>
      <c r="B34" s="12" t="s">
        <v>98</v>
      </c>
      <c r="C34" s="11" t="s">
        <v>99</v>
      </c>
      <c r="D34" s="11" t="s">
        <v>148</v>
      </c>
      <c r="E34" s="11" t="s">
        <v>274</v>
      </c>
      <c r="F34" s="14" t="n">
        <v>0.00694444444444444</v>
      </c>
      <c r="G34" s="14" t="n">
        <v>0.0104166666666667</v>
      </c>
      <c r="H34" s="13" t="n">
        <v>0.42</v>
      </c>
      <c r="I34" s="13" t="n">
        <v>0.26</v>
      </c>
      <c r="J34" s="11" t="s">
        <v>275</v>
      </c>
      <c r="K34" s="11" t="s">
        <v>187</v>
      </c>
      <c r="L34" s="11" t="s">
        <v>276</v>
      </c>
      <c r="M34" s="11" t="n">
        <v>68</v>
      </c>
      <c r="N34" s="11" t="n">
        <v>0</v>
      </c>
      <c r="O34" s="11" t="s">
        <v>271</v>
      </c>
      <c r="P34" s="11" t="s">
        <v>277</v>
      </c>
      <c r="Q34" s="11" t="s">
        <v>278</v>
      </c>
      <c r="R34" s="11" t="s">
        <v>279</v>
      </c>
      <c r="S34" s="14" t="n">
        <v>0.00498842592592593</v>
      </c>
      <c r="T34" s="11"/>
    </row>
    <row r="35" customFormat="false" ht="15" hidden="false" customHeight="true" outlineLevel="0" collapsed="false">
      <c r="A35" s="11" t="s">
        <v>96</v>
      </c>
      <c r="B35" s="12" t="s">
        <v>98</v>
      </c>
      <c r="C35" s="11" t="s">
        <v>99</v>
      </c>
      <c r="D35" s="11" t="s">
        <v>151</v>
      </c>
      <c r="E35" s="11" t="s">
        <v>274</v>
      </c>
      <c r="F35" s="14" t="n">
        <v>0.00694444444444444</v>
      </c>
      <c r="G35" s="14" t="n">
        <v>0.0173611111111111</v>
      </c>
      <c r="H35" s="13" t="n">
        <v>0.24</v>
      </c>
      <c r="I35" s="13" t="n">
        <v>0.15</v>
      </c>
      <c r="J35" s="11" t="s">
        <v>141</v>
      </c>
      <c r="K35" s="11" t="s">
        <v>280</v>
      </c>
      <c r="L35" s="11" t="s">
        <v>223</v>
      </c>
      <c r="M35" s="11" t="n">
        <v>79</v>
      </c>
      <c r="N35" s="11" t="n">
        <v>0</v>
      </c>
      <c r="O35" s="11" t="s">
        <v>281</v>
      </c>
      <c r="P35" s="11" t="s">
        <v>160</v>
      </c>
      <c r="Q35" s="11" t="s">
        <v>282</v>
      </c>
      <c r="R35" s="11" t="s">
        <v>283</v>
      </c>
      <c r="S35" s="14" t="n">
        <v>0.00318287037037037</v>
      </c>
      <c r="T35" s="11"/>
    </row>
    <row r="36" customFormat="false" ht="15" hidden="false" customHeight="true" outlineLevel="0" collapsed="false">
      <c r="A36" s="11" t="s">
        <v>96</v>
      </c>
      <c r="B36" s="12" t="s">
        <v>98</v>
      </c>
      <c r="C36" s="11" t="s">
        <v>99</v>
      </c>
      <c r="D36" s="11" t="s">
        <v>284</v>
      </c>
      <c r="E36" s="11" t="s">
        <v>285</v>
      </c>
      <c r="F36" s="14" t="n">
        <v>0.322546296296296</v>
      </c>
      <c r="G36" s="14" t="n">
        <v>0.339907407407407</v>
      </c>
      <c r="H36" s="13" t="n">
        <v>14.34</v>
      </c>
      <c r="I36" s="13" t="n">
        <v>8.91</v>
      </c>
      <c r="J36" s="11" t="s">
        <v>286</v>
      </c>
      <c r="K36" s="11" t="s">
        <v>230</v>
      </c>
      <c r="L36" s="11" t="s">
        <v>172</v>
      </c>
      <c r="M36" s="11" t="n">
        <v>1068</v>
      </c>
      <c r="N36" s="11" t="n">
        <v>1212</v>
      </c>
      <c r="O36" s="11" t="s">
        <v>287</v>
      </c>
      <c r="P36" s="11" t="s">
        <v>288</v>
      </c>
      <c r="Q36" s="11" t="s">
        <v>289</v>
      </c>
      <c r="R36" s="11" t="s">
        <v>290</v>
      </c>
      <c r="S36" s="14" t="n">
        <v>0.135868055555556</v>
      </c>
      <c r="T36" s="11"/>
    </row>
    <row r="37" customFormat="false" ht="15" hidden="false" customHeight="true" outlineLevel="0" collapsed="false">
      <c r="A37" s="11" t="s">
        <v>96</v>
      </c>
      <c r="B37" s="12" t="s">
        <v>98</v>
      </c>
      <c r="C37" s="11" t="s">
        <v>99</v>
      </c>
      <c r="D37" s="11" t="s">
        <v>156</v>
      </c>
      <c r="E37" s="11" t="s">
        <v>285</v>
      </c>
      <c r="F37" s="14" t="n">
        <v>0.00347222222222222</v>
      </c>
      <c r="G37" s="14" t="n">
        <v>0.0208333333333333</v>
      </c>
      <c r="H37" s="13" t="n">
        <v>0.11</v>
      </c>
      <c r="I37" s="13" t="n">
        <v>0.07</v>
      </c>
      <c r="J37" s="11" t="s">
        <v>141</v>
      </c>
      <c r="K37" s="11" t="s">
        <v>195</v>
      </c>
      <c r="L37" s="11" t="s">
        <v>188</v>
      </c>
      <c r="M37" s="11" t="n">
        <v>34</v>
      </c>
      <c r="N37" s="11" t="n">
        <v>0</v>
      </c>
      <c r="O37" s="11" t="s">
        <v>291</v>
      </c>
      <c r="P37" s="11" t="s">
        <v>240</v>
      </c>
      <c r="Q37" s="11" t="s">
        <v>292</v>
      </c>
      <c r="R37" s="11" t="s">
        <v>293</v>
      </c>
      <c r="S37" s="14" t="n">
        <v>0.00137731481481482</v>
      </c>
      <c r="T37" s="11"/>
    </row>
    <row r="38" customFormat="false" ht="15" hidden="false" customHeight="true" outlineLevel="0" collapsed="false">
      <c r="A38" s="11" t="s">
        <v>96</v>
      </c>
      <c r="B38" s="12" t="s">
        <v>98</v>
      </c>
      <c r="C38" s="11" t="s">
        <v>99</v>
      </c>
      <c r="D38" s="11" t="s">
        <v>189</v>
      </c>
      <c r="E38" s="11" t="s">
        <v>285</v>
      </c>
      <c r="F38" s="14" t="n">
        <v>0.0362152777777778</v>
      </c>
      <c r="G38" s="14" t="n">
        <v>0.0570486111111111</v>
      </c>
      <c r="H38" s="13" t="n">
        <v>1</v>
      </c>
      <c r="I38" s="13" t="n">
        <v>0.62</v>
      </c>
      <c r="J38" s="11" t="s">
        <v>141</v>
      </c>
      <c r="K38" s="11" t="s">
        <v>176</v>
      </c>
      <c r="L38" s="11" t="s">
        <v>276</v>
      </c>
      <c r="M38" s="11" t="n">
        <v>281</v>
      </c>
      <c r="N38" s="11" t="n">
        <v>10</v>
      </c>
      <c r="O38" s="11" t="s">
        <v>294</v>
      </c>
      <c r="P38" s="11" t="s">
        <v>295</v>
      </c>
      <c r="Q38" s="11" t="s">
        <v>296</v>
      </c>
      <c r="R38" s="11" t="s">
        <v>297</v>
      </c>
      <c r="S38" s="14" t="n">
        <v>0.00527777777777778</v>
      </c>
      <c r="T38" s="11"/>
    </row>
    <row r="39" customFormat="false" ht="15" hidden="false" customHeight="true" outlineLevel="0" collapsed="false">
      <c r="A39" s="11" t="s">
        <v>96</v>
      </c>
      <c r="B39" s="12" t="s">
        <v>98</v>
      </c>
      <c r="C39" s="11" t="s">
        <v>99</v>
      </c>
      <c r="D39" s="11" t="s">
        <v>298</v>
      </c>
      <c r="E39" s="11" t="s">
        <v>285</v>
      </c>
      <c r="F39" s="14" t="n">
        <v>0.0329050925925926</v>
      </c>
      <c r="G39" s="14" t="n">
        <v>0.0899537037037037</v>
      </c>
      <c r="H39" s="13" t="n">
        <v>1</v>
      </c>
      <c r="I39" s="13" t="n">
        <v>0.62</v>
      </c>
      <c r="J39" s="11" t="s">
        <v>141</v>
      </c>
      <c r="K39" s="11" t="s">
        <v>299</v>
      </c>
      <c r="L39" s="11" t="s">
        <v>159</v>
      </c>
      <c r="M39" s="11" t="n">
        <v>31</v>
      </c>
      <c r="N39" s="11" t="n">
        <v>254</v>
      </c>
      <c r="O39" s="11" t="s">
        <v>300</v>
      </c>
      <c r="P39" s="11" t="s">
        <v>295</v>
      </c>
      <c r="Q39" s="11" t="s">
        <v>301</v>
      </c>
      <c r="R39" s="11" t="s">
        <v>302</v>
      </c>
      <c r="S39" s="14" t="n">
        <v>0.00599537037037037</v>
      </c>
      <c r="T39" s="11"/>
    </row>
    <row r="40" customFormat="false" ht="15" hidden="false" customHeight="true" outlineLevel="0" collapsed="false">
      <c r="A40" s="11" t="s">
        <v>96</v>
      </c>
      <c r="B40" s="12" t="s">
        <v>98</v>
      </c>
      <c r="C40" s="11" t="s">
        <v>99</v>
      </c>
      <c r="D40" s="11" t="s">
        <v>144</v>
      </c>
      <c r="E40" s="11" t="s">
        <v>285</v>
      </c>
      <c r="F40" s="14" t="n">
        <v>0.0194212962962963</v>
      </c>
      <c r="G40" s="14" t="n">
        <v>0.109375</v>
      </c>
      <c r="H40" s="13" t="n">
        <v>1</v>
      </c>
      <c r="I40" s="13" t="n">
        <v>0.62</v>
      </c>
      <c r="J40" s="11" t="s">
        <v>303</v>
      </c>
      <c r="K40" s="11" t="s">
        <v>217</v>
      </c>
      <c r="L40" s="11" t="s">
        <v>212</v>
      </c>
      <c r="M40" s="11" t="n">
        <v>127</v>
      </c>
      <c r="N40" s="11" t="n">
        <v>24</v>
      </c>
      <c r="O40" s="11" t="s">
        <v>304</v>
      </c>
      <c r="P40" s="11" t="s">
        <v>292</v>
      </c>
      <c r="Q40" s="11" t="s">
        <v>305</v>
      </c>
      <c r="R40" s="11" t="s">
        <v>306</v>
      </c>
      <c r="S40" s="14" t="n">
        <v>0.0132407407407407</v>
      </c>
      <c r="T40" s="11"/>
    </row>
    <row r="41" customFormat="false" ht="15" hidden="false" customHeight="true" outlineLevel="0" collapsed="false">
      <c r="A41" s="11" t="s">
        <v>96</v>
      </c>
      <c r="B41" s="12" t="s">
        <v>98</v>
      </c>
      <c r="C41" s="11" t="s">
        <v>99</v>
      </c>
      <c r="D41" s="11" t="s">
        <v>213</v>
      </c>
      <c r="E41" s="11" t="s">
        <v>285</v>
      </c>
      <c r="F41" s="14" t="n">
        <v>0.0195023148148148</v>
      </c>
      <c r="G41" s="14" t="n">
        <v>0.128877314814815</v>
      </c>
      <c r="H41" s="13" t="n">
        <v>1</v>
      </c>
      <c r="I41" s="13" t="n">
        <v>0.62</v>
      </c>
      <c r="J41" s="11" t="s">
        <v>307</v>
      </c>
      <c r="K41" s="11" t="s">
        <v>158</v>
      </c>
      <c r="L41" s="11" t="s">
        <v>308</v>
      </c>
      <c r="M41" s="11" t="n">
        <v>107</v>
      </c>
      <c r="N41" s="11" t="n">
        <v>21</v>
      </c>
      <c r="O41" s="11" t="s">
        <v>309</v>
      </c>
      <c r="P41" s="11" t="s">
        <v>291</v>
      </c>
      <c r="Q41" s="11" t="s">
        <v>310</v>
      </c>
      <c r="R41" s="11" t="s">
        <v>162</v>
      </c>
      <c r="S41" s="14" t="n">
        <v>0.0139351851851852</v>
      </c>
      <c r="T41" s="11"/>
    </row>
    <row r="42" customFormat="false" ht="15" hidden="false" customHeight="true" outlineLevel="0" collapsed="false">
      <c r="A42" s="11" t="s">
        <v>96</v>
      </c>
      <c r="B42" s="12" t="s">
        <v>98</v>
      </c>
      <c r="C42" s="11" t="s">
        <v>99</v>
      </c>
      <c r="D42" s="11" t="s">
        <v>300</v>
      </c>
      <c r="E42" s="11" t="s">
        <v>285</v>
      </c>
      <c r="F42" s="14" t="n">
        <v>0.0184259259259259</v>
      </c>
      <c r="G42" s="14" t="n">
        <v>0.147303240740741</v>
      </c>
      <c r="H42" s="13" t="n">
        <v>1</v>
      </c>
      <c r="I42" s="13" t="n">
        <v>0.62</v>
      </c>
      <c r="J42" s="11" t="s">
        <v>311</v>
      </c>
      <c r="K42" s="11" t="s">
        <v>211</v>
      </c>
      <c r="L42" s="11" t="s">
        <v>276</v>
      </c>
      <c r="M42" s="11" t="n">
        <v>68</v>
      </c>
      <c r="N42" s="11" t="n">
        <v>56</v>
      </c>
      <c r="O42" s="11" t="s">
        <v>312</v>
      </c>
      <c r="P42" s="11" t="s">
        <v>312</v>
      </c>
      <c r="Q42" s="11" t="s">
        <v>313</v>
      </c>
      <c r="R42" s="11" t="s">
        <v>314</v>
      </c>
      <c r="S42" s="14" t="n">
        <v>0.012025462962963</v>
      </c>
      <c r="T42" s="11"/>
    </row>
    <row r="43" customFormat="false" ht="15" hidden="false" customHeight="true" outlineLevel="0" collapsed="false">
      <c r="A43" s="11" t="s">
        <v>96</v>
      </c>
      <c r="B43" s="12" t="s">
        <v>98</v>
      </c>
      <c r="C43" s="11" t="s">
        <v>99</v>
      </c>
      <c r="D43" s="11" t="s">
        <v>167</v>
      </c>
      <c r="E43" s="11" t="s">
        <v>285</v>
      </c>
      <c r="F43" s="14" t="n">
        <v>0.0223611111111111</v>
      </c>
      <c r="G43" s="14" t="n">
        <v>0.169664351851852</v>
      </c>
      <c r="H43" s="13" t="n">
        <v>1</v>
      </c>
      <c r="I43" s="13" t="n">
        <v>0.62</v>
      </c>
      <c r="J43" s="11" t="s">
        <v>315</v>
      </c>
      <c r="K43" s="11" t="s">
        <v>187</v>
      </c>
      <c r="L43" s="11" t="s">
        <v>152</v>
      </c>
      <c r="M43" s="11" t="n">
        <v>76</v>
      </c>
      <c r="N43" s="11" t="n">
        <v>97</v>
      </c>
      <c r="O43" s="11" t="s">
        <v>287</v>
      </c>
      <c r="P43" s="11" t="s">
        <v>316</v>
      </c>
      <c r="Q43" s="11" t="s">
        <v>308</v>
      </c>
      <c r="R43" s="11" t="s">
        <v>290</v>
      </c>
      <c r="S43" s="14" t="n">
        <v>0.00946759259259259</v>
      </c>
      <c r="T43" s="11"/>
    </row>
    <row r="44" customFormat="false" ht="15" hidden="false" customHeight="true" outlineLevel="0" collapsed="false">
      <c r="A44" s="11" t="s">
        <v>96</v>
      </c>
      <c r="B44" s="12" t="s">
        <v>98</v>
      </c>
      <c r="C44" s="11" t="s">
        <v>99</v>
      </c>
      <c r="D44" s="11" t="s">
        <v>317</v>
      </c>
      <c r="E44" s="11" t="s">
        <v>285</v>
      </c>
      <c r="F44" s="14" t="n">
        <v>0.0323263888888889</v>
      </c>
      <c r="G44" s="14" t="n">
        <v>0.201990740740741</v>
      </c>
      <c r="H44" s="13" t="n">
        <v>1</v>
      </c>
      <c r="I44" s="13" t="n">
        <v>0.62</v>
      </c>
      <c r="J44" s="11" t="s">
        <v>141</v>
      </c>
      <c r="K44" s="11" t="s">
        <v>211</v>
      </c>
      <c r="L44" s="11" t="s">
        <v>318</v>
      </c>
      <c r="M44" s="11" t="n">
        <v>125</v>
      </c>
      <c r="N44" s="11" t="n">
        <v>31</v>
      </c>
      <c r="O44" s="11" t="s">
        <v>288</v>
      </c>
      <c r="P44" s="11" t="s">
        <v>319</v>
      </c>
      <c r="Q44" s="11" t="s">
        <v>320</v>
      </c>
      <c r="R44" s="11" t="s">
        <v>251</v>
      </c>
      <c r="S44" s="14" t="n">
        <v>0.00924768518518519</v>
      </c>
      <c r="T44" s="11"/>
    </row>
    <row r="45" customFormat="false" ht="15" hidden="false" customHeight="true" outlineLevel="0" collapsed="false">
      <c r="A45" s="11" t="s">
        <v>96</v>
      </c>
      <c r="B45" s="12" t="s">
        <v>98</v>
      </c>
      <c r="C45" s="11" t="s">
        <v>99</v>
      </c>
      <c r="D45" s="11" t="s">
        <v>249</v>
      </c>
      <c r="E45" s="11" t="s">
        <v>285</v>
      </c>
      <c r="F45" s="14" t="n">
        <v>0.0258564814814815</v>
      </c>
      <c r="G45" s="14" t="n">
        <v>0.227847222222222</v>
      </c>
      <c r="H45" s="13" t="n">
        <v>1</v>
      </c>
      <c r="I45" s="13" t="n">
        <v>0.62</v>
      </c>
      <c r="J45" s="11" t="s">
        <v>321</v>
      </c>
      <c r="K45" s="11" t="s">
        <v>176</v>
      </c>
      <c r="L45" s="11" t="s">
        <v>172</v>
      </c>
      <c r="M45" s="11" t="n">
        <v>67</v>
      </c>
      <c r="N45" s="11" t="n">
        <v>70</v>
      </c>
      <c r="O45" s="11" t="s">
        <v>300</v>
      </c>
      <c r="P45" s="11" t="s">
        <v>167</v>
      </c>
      <c r="Q45" s="11" t="s">
        <v>322</v>
      </c>
      <c r="R45" s="11" t="s">
        <v>323</v>
      </c>
      <c r="S45" s="14" t="n">
        <v>0.00459490740740741</v>
      </c>
      <c r="T45" s="11"/>
    </row>
    <row r="46" customFormat="false" ht="15" hidden="false" customHeight="true" outlineLevel="0" collapsed="false">
      <c r="A46" s="11" t="s">
        <v>96</v>
      </c>
      <c r="B46" s="12" t="s">
        <v>98</v>
      </c>
      <c r="C46" s="11" t="s">
        <v>99</v>
      </c>
      <c r="D46" s="11" t="s">
        <v>324</v>
      </c>
      <c r="E46" s="11" t="s">
        <v>285</v>
      </c>
      <c r="F46" s="14" t="n">
        <v>0.0191782407407407</v>
      </c>
      <c r="G46" s="14" t="n">
        <v>0.247025462962963</v>
      </c>
      <c r="H46" s="13" t="n">
        <v>1</v>
      </c>
      <c r="I46" s="13" t="n">
        <v>0.62</v>
      </c>
      <c r="J46" s="11" t="s">
        <v>325</v>
      </c>
      <c r="K46" s="11" t="s">
        <v>326</v>
      </c>
      <c r="L46" s="11" t="s">
        <v>172</v>
      </c>
      <c r="M46" s="11" t="n">
        <v>51</v>
      </c>
      <c r="N46" s="11" t="n">
        <v>96</v>
      </c>
      <c r="O46" s="11" t="s">
        <v>232</v>
      </c>
      <c r="P46" s="11" t="s">
        <v>319</v>
      </c>
      <c r="Q46" s="11" t="s">
        <v>327</v>
      </c>
      <c r="R46" s="11" t="s">
        <v>328</v>
      </c>
      <c r="S46" s="14" t="n">
        <v>0.0069212962962963</v>
      </c>
      <c r="T46" s="11"/>
    </row>
    <row r="47" customFormat="false" ht="15" hidden="false" customHeight="true" outlineLevel="0" collapsed="false">
      <c r="A47" s="11" t="s">
        <v>96</v>
      </c>
      <c r="B47" s="12" t="s">
        <v>98</v>
      </c>
      <c r="C47" s="11" t="s">
        <v>99</v>
      </c>
      <c r="D47" s="11" t="s">
        <v>329</v>
      </c>
      <c r="E47" s="11" t="s">
        <v>285</v>
      </c>
      <c r="F47" s="14" t="n">
        <v>0.0216435185185185</v>
      </c>
      <c r="G47" s="14" t="n">
        <v>0.268668981481482</v>
      </c>
      <c r="H47" s="13" t="n">
        <v>1</v>
      </c>
      <c r="I47" s="13" t="n">
        <v>0.62</v>
      </c>
      <c r="J47" s="11" t="s">
        <v>330</v>
      </c>
      <c r="K47" s="11" t="s">
        <v>331</v>
      </c>
      <c r="L47" s="11" t="s">
        <v>310</v>
      </c>
      <c r="M47" s="11" t="n">
        <v>27</v>
      </c>
      <c r="N47" s="11" t="n">
        <v>184</v>
      </c>
      <c r="O47" s="11" t="s">
        <v>332</v>
      </c>
      <c r="P47" s="11" t="s">
        <v>333</v>
      </c>
      <c r="Q47" s="11" t="s">
        <v>334</v>
      </c>
      <c r="R47" s="11" t="s">
        <v>335</v>
      </c>
      <c r="S47" s="14" t="n">
        <v>0.00913194444444444</v>
      </c>
      <c r="T47" s="11"/>
    </row>
    <row r="48" customFormat="false" ht="15" hidden="false" customHeight="true" outlineLevel="0" collapsed="false">
      <c r="A48" s="11" t="s">
        <v>96</v>
      </c>
      <c r="B48" s="12" t="s">
        <v>98</v>
      </c>
      <c r="C48" s="11" t="s">
        <v>99</v>
      </c>
      <c r="D48" s="11" t="s">
        <v>295</v>
      </c>
      <c r="E48" s="11" t="s">
        <v>285</v>
      </c>
      <c r="F48" s="14" t="n">
        <v>0.0170486111111111</v>
      </c>
      <c r="G48" s="14" t="n">
        <v>0.285717592592593</v>
      </c>
      <c r="H48" s="13" t="n">
        <v>1</v>
      </c>
      <c r="I48" s="13" t="n">
        <v>0.62</v>
      </c>
      <c r="J48" s="11" t="s">
        <v>336</v>
      </c>
      <c r="K48" s="11" t="s">
        <v>187</v>
      </c>
      <c r="L48" s="11" t="s">
        <v>171</v>
      </c>
      <c r="M48" s="11" t="n">
        <v>0</v>
      </c>
      <c r="N48" s="11" t="n">
        <v>188</v>
      </c>
      <c r="O48" s="11" t="s">
        <v>337</v>
      </c>
      <c r="P48" s="11" t="s">
        <v>338</v>
      </c>
      <c r="Q48" s="11" t="s">
        <v>339</v>
      </c>
      <c r="R48" s="11" t="s">
        <v>340</v>
      </c>
      <c r="S48" s="14" t="n">
        <v>0.0102430555555556</v>
      </c>
      <c r="T48" s="11"/>
    </row>
    <row r="49" customFormat="false" ht="15" hidden="false" customHeight="true" outlineLevel="0" collapsed="false">
      <c r="A49" s="11" t="s">
        <v>96</v>
      </c>
      <c r="B49" s="12" t="s">
        <v>98</v>
      </c>
      <c r="C49" s="11" t="s">
        <v>99</v>
      </c>
      <c r="D49" s="11" t="s">
        <v>224</v>
      </c>
      <c r="E49" s="11" t="s">
        <v>285</v>
      </c>
      <c r="F49" s="14" t="n">
        <v>0.0232638888888889</v>
      </c>
      <c r="G49" s="14" t="n">
        <v>0.308981481481482</v>
      </c>
      <c r="H49" s="13" t="n">
        <v>1</v>
      </c>
      <c r="I49" s="13" t="n">
        <v>0.62</v>
      </c>
      <c r="J49" s="11" t="s">
        <v>341</v>
      </c>
      <c r="K49" s="11" t="s">
        <v>149</v>
      </c>
      <c r="L49" s="11" t="s">
        <v>195</v>
      </c>
      <c r="M49" s="11" t="n">
        <v>24</v>
      </c>
      <c r="N49" s="11" t="n">
        <v>68</v>
      </c>
      <c r="O49" s="11" t="s">
        <v>316</v>
      </c>
      <c r="P49" s="11" t="s">
        <v>342</v>
      </c>
      <c r="Q49" s="11" t="s">
        <v>343</v>
      </c>
      <c r="R49" s="11" t="s">
        <v>302</v>
      </c>
      <c r="S49" s="14" t="n">
        <v>0.0109837962962963</v>
      </c>
      <c r="T49" s="11"/>
    </row>
    <row r="50" customFormat="false" ht="15" hidden="false" customHeight="true" outlineLevel="0" collapsed="false">
      <c r="A50" s="11" t="s">
        <v>96</v>
      </c>
      <c r="B50" s="12" t="s">
        <v>98</v>
      </c>
      <c r="C50" s="11" t="s">
        <v>99</v>
      </c>
      <c r="D50" s="11" t="s">
        <v>332</v>
      </c>
      <c r="E50" s="11" t="s">
        <v>285</v>
      </c>
      <c r="F50" s="14" t="n">
        <v>0.0115625</v>
      </c>
      <c r="G50" s="14" t="n">
        <v>0.320543981481482</v>
      </c>
      <c r="H50" s="13" t="n">
        <v>1</v>
      </c>
      <c r="I50" s="13" t="n">
        <v>0.62</v>
      </c>
      <c r="J50" s="11" t="s">
        <v>344</v>
      </c>
      <c r="K50" s="11" t="s">
        <v>210</v>
      </c>
      <c r="L50" s="11" t="s">
        <v>345</v>
      </c>
      <c r="M50" s="11" t="n">
        <v>11</v>
      </c>
      <c r="N50" s="11" t="n">
        <v>49</v>
      </c>
      <c r="O50" s="11" t="s">
        <v>264</v>
      </c>
      <c r="P50" s="11" t="s">
        <v>346</v>
      </c>
      <c r="Q50" s="11" t="s">
        <v>347</v>
      </c>
      <c r="R50" s="11" t="s">
        <v>348</v>
      </c>
      <c r="S50" s="14" t="n">
        <v>0.0111226851851852</v>
      </c>
      <c r="T50" s="11"/>
    </row>
    <row r="51" customFormat="false" ht="15" hidden="false" customHeight="true" outlineLevel="0" collapsed="false">
      <c r="A51" s="11" t="s">
        <v>96</v>
      </c>
      <c r="B51" s="12" t="s">
        <v>98</v>
      </c>
      <c r="C51" s="11" t="s">
        <v>99</v>
      </c>
      <c r="D51" s="11" t="s">
        <v>349</v>
      </c>
      <c r="E51" s="11" t="s">
        <v>285</v>
      </c>
      <c r="F51" s="14" t="n">
        <v>0.0110763888888889</v>
      </c>
      <c r="G51" s="14" t="n">
        <v>0.33162037037037</v>
      </c>
      <c r="H51" s="13" t="n">
        <v>1</v>
      </c>
      <c r="I51" s="13" t="n">
        <v>0.62</v>
      </c>
      <c r="J51" s="11" t="s">
        <v>350</v>
      </c>
      <c r="K51" s="11" t="s">
        <v>187</v>
      </c>
      <c r="L51" s="11" t="s">
        <v>223</v>
      </c>
      <c r="M51" s="11" t="n">
        <v>35</v>
      </c>
      <c r="N51" s="11" t="n">
        <v>58</v>
      </c>
      <c r="O51" s="11" t="s">
        <v>278</v>
      </c>
      <c r="P51" s="11" t="s">
        <v>270</v>
      </c>
      <c r="Q51" s="11" t="s">
        <v>351</v>
      </c>
      <c r="R51" s="11" t="s">
        <v>314</v>
      </c>
      <c r="S51" s="14" t="n">
        <v>0.0108912037037037</v>
      </c>
      <c r="T51" s="11"/>
    </row>
    <row r="52" customFormat="false" ht="15" hidden="false" customHeight="true" outlineLevel="0" collapsed="false">
      <c r="A52" s="11" t="s">
        <v>96</v>
      </c>
      <c r="B52" s="12" t="s">
        <v>98</v>
      </c>
      <c r="C52" s="11" t="s">
        <v>99</v>
      </c>
      <c r="D52" s="11" t="s">
        <v>352</v>
      </c>
      <c r="E52" s="11" t="s">
        <v>285</v>
      </c>
      <c r="F52" s="14" t="n">
        <v>0.00828703703703704</v>
      </c>
      <c r="G52" s="14" t="n">
        <v>0.339907407407407</v>
      </c>
      <c r="H52" s="13" t="n">
        <v>0.23</v>
      </c>
      <c r="I52" s="13" t="n">
        <v>0.14</v>
      </c>
      <c r="J52" s="11" t="s">
        <v>141</v>
      </c>
      <c r="K52" s="11" t="s">
        <v>353</v>
      </c>
      <c r="L52" s="11" t="s">
        <v>231</v>
      </c>
      <c r="M52" s="11" t="n">
        <v>5</v>
      </c>
      <c r="N52" s="11" t="n">
        <v>6</v>
      </c>
      <c r="O52" s="11" t="s">
        <v>249</v>
      </c>
      <c r="P52" s="11" t="s">
        <v>295</v>
      </c>
      <c r="Q52" s="11" t="s">
        <v>292</v>
      </c>
      <c r="R52" s="11" t="s">
        <v>354</v>
      </c>
      <c r="S52" s="14" t="n">
        <v>0.00140046296296296</v>
      </c>
      <c r="T52" s="11"/>
    </row>
    <row r="53" customFormat="false" ht="15" hidden="false" customHeight="true" outlineLevel="0" collapsed="false">
      <c r="A53" s="11" t="s">
        <v>96</v>
      </c>
      <c r="B53" s="12" t="s">
        <v>98</v>
      </c>
      <c r="C53" s="11" t="s">
        <v>99</v>
      </c>
      <c r="D53" s="11" t="s">
        <v>355</v>
      </c>
      <c r="E53" s="11" t="s">
        <v>355</v>
      </c>
      <c r="F53" s="14" t="n">
        <v>0.339907407407407</v>
      </c>
      <c r="G53" s="14" t="n">
        <v>0.339907407407407</v>
      </c>
      <c r="H53" s="13" t="n">
        <v>15.29</v>
      </c>
      <c r="I53" s="13" t="n">
        <v>9.5</v>
      </c>
      <c r="J53" s="11" t="s">
        <v>356</v>
      </c>
      <c r="K53" s="11" t="s">
        <v>230</v>
      </c>
      <c r="L53" s="11" t="s">
        <v>172</v>
      </c>
      <c r="M53" s="11" t="n">
        <v>1238</v>
      </c>
      <c r="N53" s="11" t="n">
        <v>1213</v>
      </c>
      <c r="O53" s="11" t="s">
        <v>288</v>
      </c>
      <c r="P53" s="11" t="s">
        <v>288</v>
      </c>
      <c r="Q53" s="11" t="s">
        <v>357</v>
      </c>
      <c r="R53" s="11" t="s">
        <v>273</v>
      </c>
      <c r="S53" s="14" t="n">
        <v>0.147280092592593</v>
      </c>
      <c r="T53" s="11"/>
    </row>
    <row r="54" customFormat="false" ht="15" hidden="false" customHeight="true" outlineLevel="0" collapsed="false">
      <c r="A54" s="11" t="s">
        <v>104</v>
      </c>
      <c r="B54" s="12" t="s">
        <v>106</v>
      </c>
      <c r="C54" s="11" t="s">
        <v>99</v>
      </c>
      <c r="D54" s="11" t="s">
        <v>140</v>
      </c>
      <c r="E54" s="11"/>
      <c r="F54" s="14" t="n">
        <v>0.0108796296296296</v>
      </c>
      <c r="G54" s="14" t="n">
        <v>0.0108796296296296</v>
      </c>
      <c r="H54" s="13" t="n">
        <v>1</v>
      </c>
      <c r="I54" s="13" t="n">
        <v>0.62</v>
      </c>
      <c r="J54" s="11" t="s">
        <v>358</v>
      </c>
      <c r="K54" s="11" t="s">
        <v>359</v>
      </c>
      <c r="L54" s="11" t="s">
        <v>331</v>
      </c>
      <c r="M54" s="11" t="n">
        <v>50</v>
      </c>
      <c r="N54" s="11" t="n">
        <v>0</v>
      </c>
      <c r="O54" s="11" t="s">
        <v>360</v>
      </c>
      <c r="P54" s="11" t="s">
        <v>361</v>
      </c>
      <c r="Q54" s="11" t="s">
        <v>362</v>
      </c>
      <c r="R54" s="11" t="s">
        <v>363</v>
      </c>
      <c r="S54" s="14" t="n">
        <v>0.0101967592592593</v>
      </c>
      <c r="T54" s="11" t="s">
        <v>364</v>
      </c>
    </row>
    <row r="55" customFormat="false" ht="15" hidden="false" customHeight="true" outlineLevel="0" collapsed="false">
      <c r="A55" s="11" t="s">
        <v>104</v>
      </c>
      <c r="B55" s="12" t="s">
        <v>106</v>
      </c>
      <c r="C55" s="11" t="s">
        <v>99</v>
      </c>
      <c r="D55" s="11" t="s">
        <v>148</v>
      </c>
      <c r="E55" s="11"/>
      <c r="F55" s="14" t="n">
        <v>0.0116666666666667</v>
      </c>
      <c r="G55" s="14" t="n">
        <v>0.0225462962962963</v>
      </c>
      <c r="H55" s="13" t="n">
        <v>1</v>
      </c>
      <c r="I55" s="13" t="n">
        <v>0.62</v>
      </c>
      <c r="J55" s="11" t="s">
        <v>365</v>
      </c>
      <c r="K55" s="11" t="s">
        <v>366</v>
      </c>
      <c r="L55" s="11" t="s">
        <v>211</v>
      </c>
      <c r="M55" s="11" t="n">
        <v>7</v>
      </c>
      <c r="N55" s="11" t="n">
        <v>29</v>
      </c>
      <c r="O55" s="11" t="s">
        <v>367</v>
      </c>
      <c r="P55" s="11" t="s">
        <v>368</v>
      </c>
      <c r="Q55" s="11" t="s">
        <v>264</v>
      </c>
      <c r="R55" s="11" t="s">
        <v>369</v>
      </c>
      <c r="S55" s="14" t="n">
        <v>0.00940972222222222</v>
      </c>
      <c r="T55" s="11" t="s">
        <v>370</v>
      </c>
    </row>
    <row r="56" customFormat="false" ht="15" hidden="false" customHeight="true" outlineLevel="0" collapsed="false">
      <c r="A56" s="11" t="s">
        <v>104</v>
      </c>
      <c r="B56" s="12" t="s">
        <v>106</v>
      </c>
      <c r="C56" s="11" t="s">
        <v>99</v>
      </c>
      <c r="D56" s="11" t="s">
        <v>151</v>
      </c>
      <c r="E56" s="11"/>
      <c r="F56" s="14" t="n">
        <v>0.00760416666666667</v>
      </c>
      <c r="G56" s="14" t="n">
        <v>0.030150462962963</v>
      </c>
      <c r="H56" s="13" t="n">
        <v>1</v>
      </c>
      <c r="I56" s="13" t="n">
        <v>0.62</v>
      </c>
      <c r="J56" s="11" t="s">
        <v>371</v>
      </c>
      <c r="K56" s="11" t="s">
        <v>372</v>
      </c>
      <c r="L56" s="11" t="s">
        <v>280</v>
      </c>
      <c r="M56" s="11" t="n">
        <v>15</v>
      </c>
      <c r="N56" s="11" t="n">
        <v>23</v>
      </c>
      <c r="O56" s="11" t="s">
        <v>159</v>
      </c>
      <c r="P56" s="11" t="s">
        <v>222</v>
      </c>
      <c r="Q56" s="11" t="s">
        <v>373</v>
      </c>
      <c r="R56" s="11" t="s">
        <v>374</v>
      </c>
      <c r="S56" s="14" t="n">
        <v>0.0075</v>
      </c>
      <c r="T56" s="11" t="s">
        <v>375</v>
      </c>
    </row>
    <row r="57" customFormat="false" ht="15" hidden="false" customHeight="true" outlineLevel="0" collapsed="false">
      <c r="A57" s="11" t="s">
        <v>104</v>
      </c>
      <c r="B57" s="12" t="s">
        <v>106</v>
      </c>
      <c r="C57" s="11" t="s">
        <v>99</v>
      </c>
      <c r="D57" s="11" t="s">
        <v>156</v>
      </c>
      <c r="E57" s="11"/>
      <c r="F57" s="14" t="n">
        <v>0.00944444444444445</v>
      </c>
      <c r="G57" s="14" t="n">
        <v>0.0395949074074074</v>
      </c>
      <c r="H57" s="13" t="n">
        <v>0.87</v>
      </c>
      <c r="I57" s="13" t="n">
        <v>0.54</v>
      </c>
      <c r="J57" s="11" t="s">
        <v>376</v>
      </c>
      <c r="K57" s="11" t="s">
        <v>200</v>
      </c>
      <c r="L57" s="11" t="s">
        <v>142</v>
      </c>
      <c r="M57" s="11" t="n">
        <v>29</v>
      </c>
      <c r="N57" s="11" t="n">
        <v>13</v>
      </c>
      <c r="O57" s="11" t="s">
        <v>377</v>
      </c>
      <c r="P57" s="11" t="s">
        <v>378</v>
      </c>
      <c r="Q57" s="11" t="s">
        <v>379</v>
      </c>
      <c r="R57" s="11" t="s">
        <v>380</v>
      </c>
      <c r="S57" s="14" t="n">
        <v>0.00819444444444445</v>
      </c>
      <c r="T57" s="11" t="s">
        <v>381</v>
      </c>
    </row>
    <row r="58" customFormat="false" ht="15" hidden="false" customHeight="true" outlineLevel="0" collapsed="false">
      <c r="A58" s="21" t="s">
        <v>104</v>
      </c>
      <c r="B58" s="22" t="s">
        <v>106</v>
      </c>
      <c r="C58" s="21" t="s">
        <v>99</v>
      </c>
      <c r="D58" s="21" t="s">
        <v>382</v>
      </c>
      <c r="E58" s="21"/>
      <c r="F58" s="23" t="n">
        <v>0.0395949074074074</v>
      </c>
      <c r="G58" s="23" t="n">
        <v>0.0395949074074074</v>
      </c>
      <c r="H58" s="24" t="n">
        <v>3.88</v>
      </c>
      <c r="I58" s="24" t="n">
        <v>2.41</v>
      </c>
      <c r="J58" s="21" t="s">
        <v>383</v>
      </c>
      <c r="K58" s="21" t="s">
        <v>384</v>
      </c>
      <c r="L58" s="21" t="s">
        <v>280</v>
      </c>
      <c r="M58" s="21" t="n">
        <v>101</v>
      </c>
      <c r="N58" s="21" t="n">
        <v>65</v>
      </c>
      <c r="O58" s="21" t="s">
        <v>385</v>
      </c>
      <c r="P58" s="21" t="s">
        <v>386</v>
      </c>
      <c r="Q58" s="21" t="s">
        <v>387</v>
      </c>
      <c r="R58" s="21" t="s">
        <v>369</v>
      </c>
      <c r="S58" s="23" t="n">
        <v>0.0353009259259259</v>
      </c>
      <c r="T58" s="21" t="s">
        <v>388</v>
      </c>
    </row>
    <row r="59" customFormat="false" ht="15" hidden="false" customHeight="true" outlineLevel="0" collapsed="false">
      <c r="A59" s="11" t="s">
        <v>109</v>
      </c>
      <c r="B59" s="12" t="s">
        <v>106</v>
      </c>
      <c r="C59" s="11" t="s">
        <v>99</v>
      </c>
      <c r="D59" s="11" t="s">
        <v>140</v>
      </c>
      <c r="E59" s="11"/>
      <c r="F59" s="14" t="n">
        <v>0.0119675925925926</v>
      </c>
      <c r="G59" s="14" t="n">
        <v>0.0119675925925926</v>
      </c>
      <c r="H59" s="13" t="n">
        <v>1</v>
      </c>
      <c r="I59" s="13" t="n">
        <v>0.62</v>
      </c>
      <c r="J59" s="11" t="s">
        <v>389</v>
      </c>
      <c r="K59" s="11" t="s">
        <v>299</v>
      </c>
      <c r="L59" s="11" t="s">
        <v>159</v>
      </c>
      <c r="M59" s="11" t="n">
        <v>85</v>
      </c>
      <c r="N59" s="11" t="n">
        <v>1</v>
      </c>
      <c r="O59" s="11" t="s">
        <v>377</v>
      </c>
      <c r="P59" s="11" t="s">
        <v>390</v>
      </c>
      <c r="Q59" s="11" t="s">
        <v>377</v>
      </c>
      <c r="R59" s="11" t="s">
        <v>391</v>
      </c>
      <c r="S59" s="14" t="n">
        <v>0.0108333333333333</v>
      </c>
      <c r="T59" s="11" t="s">
        <v>392</v>
      </c>
    </row>
    <row r="60" customFormat="false" ht="15" hidden="false" customHeight="true" outlineLevel="0" collapsed="false">
      <c r="A60" s="11" t="s">
        <v>109</v>
      </c>
      <c r="B60" s="12" t="s">
        <v>106</v>
      </c>
      <c r="C60" s="11" t="s">
        <v>99</v>
      </c>
      <c r="D60" s="11" t="s">
        <v>148</v>
      </c>
      <c r="E60" s="11"/>
      <c r="F60" s="14" t="n">
        <v>0.0102546296296296</v>
      </c>
      <c r="G60" s="14" t="n">
        <v>0.0222222222222222</v>
      </c>
      <c r="H60" s="13" t="n">
        <v>1</v>
      </c>
      <c r="I60" s="13" t="n">
        <v>0.62</v>
      </c>
      <c r="J60" s="11" t="s">
        <v>393</v>
      </c>
      <c r="K60" s="11" t="s">
        <v>276</v>
      </c>
      <c r="L60" s="11" t="s">
        <v>201</v>
      </c>
      <c r="M60" s="11" t="n">
        <v>117</v>
      </c>
      <c r="N60" s="11" t="n">
        <v>0</v>
      </c>
      <c r="O60" s="11" t="s">
        <v>231</v>
      </c>
      <c r="P60" s="11" t="s">
        <v>270</v>
      </c>
      <c r="Q60" s="11" t="s">
        <v>205</v>
      </c>
      <c r="R60" s="11" t="s">
        <v>394</v>
      </c>
      <c r="S60" s="14" t="n">
        <v>0.0102546296296296</v>
      </c>
      <c r="T60" s="11" t="s">
        <v>395</v>
      </c>
    </row>
    <row r="61" customFormat="false" ht="15" hidden="false" customHeight="true" outlineLevel="0" collapsed="false">
      <c r="A61" s="11" t="s">
        <v>109</v>
      </c>
      <c r="B61" s="12" t="s">
        <v>106</v>
      </c>
      <c r="C61" s="11" t="s">
        <v>99</v>
      </c>
      <c r="D61" s="11" t="s">
        <v>151</v>
      </c>
      <c r="E61" s="11"/>
      <c r="F61" s="14" t="n">
        <v>0.0104398148148148</v>
      </c>
      <c r="G61" s="14" t="n">
        <v>0.032662037037037</v>
      </c>
      <c r="H61" s="13" t="n">
        <v>1</v>
      </c>
      <c r="I61" s="13" t="n">
        <v>0.62</v>
      </c>
      <c r="J61" s="11" t="s">
        <v>396</v>
      </c>
      <c r="K61" s="11" t="s">
        <v>152</v>
      </c>
      <c r="L61" s="11" t="s">
        <v>177</v>
      </c>
      <c r="M61" s="11" t="n">
        <v>99</v>
      </c>
      <c r="N61" s="11" t="n">
        <v>0</v>
      </c>
      <c r="O61" s="11" t="s">
        <v>187</v>
      </c>
      <c r="P61" s="11" t="s">
        <v>397</v>
      </c>
      <c r="Q61" s="11" t="s">
        <v>398</v>
      </c>
      <c r="R61" s="11" t="s">
        <v>399</v>
      </c>
      <c r="S61" s="14" t="n">
        <v>0.0103819444444444</v>
      </c>
      <c r="T61" s="11" t="s">
        <v>400</v>
      </c>
    </row>
    <row r="62" customFormat="false" ht="15" hidden="false" customHeight="true" outlineLevel="0" collapsed="false">
      <c r="A62" s="11" t="s">
        <v>109</v>
      </c>
      <c r="B62" s="12" t="s">
        <v>106</v>
      </c>
      <c r="C62" s="11" t="s">
        <v>99</v>
      </c>
      <c r="D62" s="11" t="s">
        <v>156</v>
      </c>
      <c r="E62" s="11"/>
      <c r="F62" s="14" t="n">
        <v>0.00884259259259259</v>
      </c>
      <c r="G62" s="14" t="n">
        <v>0.0415046296296296</v>
      </c>
      <c r="H62" s="13" t="n">
        <v>1</v>
      </c>
      <c r="I62" s="13" t="n">
        <v>0.62</v>
      </c>
      <c r="J62" s="11" t="s">
        <v>401</v>
      </c>
      <c r="K62" s="11" t="s">
        <v>188</v>
      </c>
      <c r="L62" s="11" t="s">
        <v>402</v>
      </c>
      <c r="M62" s="11" t="n">
        <v>69</v>
      </c>
      <c r="N62" s="11" t="n">
        <v>9</v>
      </c>
      <c r="O62" s="11" t="s">
        <v>183</v>
      </c>
      <c r="P62" s="11" t="s">
        <v>403</v>
      </c>
      <c r="Q62" s="11" t="s">
        <v>404</v>
      </c>
      <c r="R62" s="11" t="s">
        <v>405</v>
      </c>
      <c r="S62" s="14" t="n">
        <v>0.00884259259259259</v>
      </c>
      <c r="T62" s="11" t="s">
        <v>401</v>
      </c>
    </row>
    <row r="63" customFormat="false" ht="15" hidden="false" customHeight="true" outlineLevel="0" collapsed="false">
      <c r="A63" s="11" t="s">
        <v>109</v>
      </c>
      <c r="B63" s="12" t="s">
        <v>106</v>
      </c>
      <c r="C63" s="11" t="s">
        <v>99</v>
      </c>
      <c r="D63" s="11" t="s">
        <v>189</v>
      </c>
      <c r="E63" s="11"/>
      <c r="F63" s="14" t="n">
        <v>0.00885416666666667</v>
      </c>
      <c r="G63" s="14" t="n">
        <v>0.0503587962962963</v>
      </c>
      <c r="H63" s="13" t="n">
        <v>1</v>
      </c>
      <c r="I63" s="13" t="n">
        <v>0.62</v>
      </c>
      <c r="J63" s="11" t="s">
        <v>406</v>
      </c>
      <c r="K63" s="11" t="s">
        <v>183</v>
      </c>
      <c r="L63" s="11" t="s">
        <v>172</v>
      </c>
      <c r="M63" s="11" t="n">
        <v>65</v>
      </c>
      <c r="N63" s="11" t="n">
        <v>11</v>
      </c>
      <c r="O63" s="11" t="s">
        <v>326</v>
      </c>
      <c r="P63" s="11" t="s">
        <v>407</v>
      </c>
      <c r="Q63" s="11" t="s">
        <v>282</v>
      </c>
      <c r="R63" s="11" t="s">
        <v>408</v>
      </c>
      <c r="S63" s="14" t="n">
        <v>0.00885416666666667</v>
      </c>
      <c r="T63" s="11" t="s">
        <v>406</v>
      </c>
    </row>
    <row r="64" customFormat="false" ht="15" hidden="false" customHeight="true" outlineLevel="0" collapsed="false">
      <c r="A64" s="11" t="s">
        <v>109</v>
      </c>
      <c r="B64" s="12" t="s">
        <v>106</v>
      </c>
      <c r="C64" s="11" t="s">
        <v>99</v>
      </c>
      <c r="D64" s="11" t="s">
        <v>298</v>
      </c>
      <c r="E64" s="11"/>
      <c r="F64" s="14" t="n">
        <v>0.00780092592592593</v>
      </c>
      <c r="G64" s="14" t="n">
        <v>0.0581597222222222</v>
      </c>
      <c r="H64" s="13" t="n">
        <v>1</v>
      </c>
      <c r="I64" s="13" t="n">
        <v>0.62</v>
      </c>
      <c r="J64" s="11" t="s">
        <v>409</v>
      </c>
      <c r="K64" s="11" t="s">
        <v>326</v>
      </c>
      <c r="L64" s="11" t="s">
        <v>410</v>
      </c>
      <c r="M64" s="11" t="n">
        <v>22</v>
      </c>
      <c r="N64" s="11" t="n">
        <v>13</v>
      </c>
      <c r="O64" s="11" t="s">
        <v>158</v>
      </c>
      <c r="P64" s="11" t="s">
        <v>359</v>
      </c>
      <c r="Q64" s="11" t="s">
        <v>411</v>
      </c>
      <c r="R64" s="11" t="s">
        <v>412</v>
      </c>
      <c r="S64" s="14" t="n">
        <v>0.00780092592592593</v>
      </c>
      <c r="T64" s="11" t="s">
        <v>413</v>
      </c>
    </row>
    <row r="65" customFormat="false" ht="15" hidden="false" customHeight="true" outlineLevel="0" collapsed="false">
      <c r="A65" s="11" t="s">
        <v>109</v>
      </c>
      <c r="B65" s="12" t="s">
        <v>106</v>
      </c>
      <c r="C65" s="11" t="s">
        <v>99</v>
      </c>
      <c r="D65" s="11" t="s">
        <v>144</v>
      </c>
      <c r="E65" s="11"/>
      <c r="F65" s="14" t="n">
        <v>0.00895833333333333</v>
      </c>
      <c r="G65" s="14" t="n">
        <v>0.0671180555555556</v>
      </c>
      <c r="H65" s="13" t="n">
        <v>1</v>
      </c>
      <c r="I65" s="13" t="n">
        <v>0.62</v>
      </c>
      <c r="J65" s="11" t="s">
        <v>414</v>
      </c>
      <c r="K65" s="11" t="s">
        <v>231</v>
      </c>
      <c r="L65" s="11" t="s">
        <v>177</v>
      </c>
      <c r="M65" s="11" t="n">
        <v>39</v>
      </c>
      <c r="N65" s="11" t="n">
        <v>44</v>
      </c>
      <c r="O65" s="11" t="s">
        <v>200</v>
      </c>
      <c r="P65" s="11" t="s">
        <v>403</v>
      </c>
      <c r="Q65" s="11" t="s">
        <v>415</v>
      </c>
      <c r="R65" s="11" t="s">
        <v>416</v>
      </c>
      <c r="S65" s="14" t="n">
        <v>0.00895833333333333</v>
      </c>
      <c r="T65" s="11" t="s">
        <v>414</v>
      </c>
    </row>
    <row r="66" customFormat="false" ht="15" hidden="false" customHeight="true" outlineLevel="0" collapsed="false">
      <c r="A66" s="11" t="s">
        <v>109</v>
      </c>
      <c r="B66" s="12" t="s">
        <v>106</v>
      </c>
      <c r="C66" s="11" t="s">
        <v>99</v>
      </c>
      <c r="D66" s="11" t="s">
        <v>213</v>
      </c>
      <c r="E66" s="11"/>
      <c r="F66" s="14" t="n">
        <v>0.0105902777777778</v>
      </c>
      <c r="G66" s="14" t="n">
        <v>0.0777083333333333</v>
      </c>
      <c r="H66" s="13" t="n">
        <v>1</v>
      </c>
      <c r="I66" s="13" t="n">
        <v>0.62</v>
      </c>
      <c r="J66" s="11" t="s">
        <v>257</v>
      </c>
      <c r="K66" s="11" t="s">
        <v>142</v>
      </c>
      <c r="L66" s="11" t="s">
        <v>201</v>
      </c>
      <c r="M66" s="11" t="n">
        <v>59</v>
      </c>
      <c r="N66" s="11" t="n">
        <v>11</v>
      </c>
      <c r="O66" s="11" t="s">
        <v>366</v>
      </c>
      <c r="P66" s="11" t="s">
        <v>368</v>
      </c>
      <c r="Q66" s="11" t="s">
        <v>417</v>
      </c>
      <c r="R66" s="11" t="s">
        <v>418</v>
      </c>
      <c r="S66" s="14" t="n">
        <v>0.00930555555555556</v>
      </c>
      <c r="T66" s="11" t="s">
        <v>419</v>
      </c>
    </row>
    <row r="67" customFormat="false" ht="15" hidden="false" customHeight="true" outlineLevel="0" collapsed="false">
      <c r="A67" s="11" t="s">
        <v>109</v>
      </c>
      <c r="B67" s="12" t="s">
        <v>106</v>
      </c>
      <c r="C67" s="11" t="s">
        <v>99</v>
      </c>
      <c r="D67" s="11" t="s">
        <v>300</v>
      </c>
      <c r="E67" s="11"/>
      <c r="F67" s="14" t="n">
        <v>0.0154976851851852</v>
      </c>
      <c r="G67" s="14" t="n">
        <v>0.0932060185185185</v>
      </c>
      <c r="H67" s="13" t="n">
        <v>1</v>
      </c>
      <c r="I67" s="13" t="n">
        <v>0.62</v>
      </c>
      <c r="J67" s="11" t="s">
        <v>420</v>
      </c>
      <c r="K67" s="11" t="s">
        <v>171</v>
      </c>
      <c r="L67" s="11" t="s">
        <v>201</v>
      </c>
      <c r="M67" s="11" t="n">
        <v>83</v>
      </c>
      <c r="N67" s="11" t="n">
        <v>4</v>
      </c>
      <c r="O67" s="11" t="s">
        <v>421</v>
      </c>
      <c r="P67" s="11" t="s">
        <v>292</v>
      </c>
      <c r="Q67" s="11" t="s">
        <v>402</v>
      </c>
      <c r="R67" s="11" t="s">
        <v>422</v>
      </c>
      <c r="S67" s="14" t="n">
        <v>0.0107291666666667</v>
      </c>
      <c r="T67" s="11" t="s">
        <v>423</v>
      </c>
    </row>
    <row r="68" customFormat="false" ht="15" hidden="false" customHeight="true" outlineLevel="0" collapsed="false">
      <c r="A68" s="11" t="s">
        <v>109</v>
      </c>
      <c r="B68" s="12" t="s">
        <v>106</v>
      </c>
      <c r="C68" s="11" t="s">
        <v>99</v>
      </c>
      <c r="D68" s="11" t="s">
        <v>167</v>
      </c>
      <c r="E68" s="11"/>
      <c r="F68" s="14" t="n">
        <v>0.0129398148148148</v>
      </c>
      <c r="G68" s="14" t="n">
        <v>0.106157407407407</v>
      </c>
      <c r="H68" s="13" t="n">
        <v>1</v>
      </c>
      <c r="I68" s="13" t="n">
        <v>0.62</v>
      </c>
      <c r="J68" s="11" t="s">
        <v>424</v>
      </c>
      <c r="K68" s="11" t="s">
        <v>217</v>
      </c>
      <c r="L68" s="11" t="s">
        <v>159</v>
      </c>
      <c r="M68" s="11" t="n">
        <v>38</v>
      </c>
      <c r="N68" s="11" t="n">
        <v>29</v>
      </c>
      <c r="O68" s="11" t="s">
        <v>411</v>
      </c>
      <c r="P68" s="11" t="s">
        <v>425</v>
      </c>
      <c r="Q68" s="11" t="s">
        <v>385</v>
      </c>
      <c r="R68" s="11" t="s">
        <v>234</v>
      </c>
      <c r="S68" s="14" t="n">
        <v>0.0100347222222222</v>
      </c>
      <c r="T68" s="11" t="s">
        <v>426</v>
      </c>
    </row>
    <row r="69" customFormat="false" ht="15" hidden="false" customHeight="true" outlineLevel="0" collapsed="false">
      <c r="A69" s="11" t="s">
        <v>109</v>
      </c>
      <c r="B69" s="12" t="s">
        <v>106</v>
      </c>
      <c r="C69" s="11" t="s">
        <v>99</v>
      </c>
      <c r="D69" s="11" t="s">
        <v>317</v>
      </c>
      <c r="E69" s="11"/>
      <c r="F69" s="14" t="n">
        <v>0.0106944444444444</v>
      </c>
      <c r="G69" s="14" t="n">
        <v>0.116840277777778</v>
      </c>
      <c r="H69" s="13" t="n">
        <v>1</v>
      </c>
      <c r="I69" s="13" t="n">
        <v>0.62</v>
      </c>
      <c r="J69" s="11" t="s">
        <v>427</v>
      </c>
      <c r="K69" s="11" t="s">
        <v>331</v>
      </c>
      <c r="L69" s="11" t="s">
        <v>188</v>
      </c>
      <c r="M69" s="11" t="n">
        <v>25</v>
      </c>
      <c r="N69" s="11" t="n">
        <v>77</v>
      </c>
      <c r="O69" s="11" t="s">
        <v>390</v>
      </c>
      <c r="P69" s="11" t="s">
        <v>428</v>
      </c>
      <c r="Q69" s="11" t="s">
        <v>373</v>
      </c>
      <c r="R69" s="11" t="s">
        <v>429</v>
      </c>
      <c r="S69" s="14" t="n">
        <v>0.0102662037037037</v>
      </c>
      <c r="T69" s="11" t="s">
        <v>430</v>
      </c>
    </row>
    <row r="70" customFormat="false" ht="15" hidden="false" customHeight="true" outlineLevel="0" collapsed="false">
      <c r="A70" s="11" t="s">
        <v>109</v>
      </c>
      <c r="B70" s="12" t="s">
        <v>106</v>
      </c>
      <c r="C70" s="11" t="s">
        <v>99</v>
      </c>
      <c r="D70" s="11" t="s">
        <v>249</v>
      </c>
      <c r="E70" s="11"/>
      <c r="F70" s="14" t="n">
        <v>0.0202314814814815</v>
      </c>
      <c r="G70" s="14" t="n">
        <v>0.137071759259259</v>
      </c>
      <c r="H70" s="13" t="n">
        <v>1</v>
      </c>
      <c r="I70" s="13" t="n">
        <v>0.62</v>
      </c>
      <c r="J70" s="11" t="s">
        <v>431</v>
      </c>
      <c r="K70" s="11" t="s">
        <v>432</v>
      </c>
      <c r="L70" s="11" t="s">
        <v>165</v>
      </c>
      <c r="M70" s="11" t="n">
        <v>22</v>
      </c>
      <c r="N70" s="11" t="n">
        <v>52</v>
      </c>
      <c r="O70" s="11" t="s">
        <v>342</v>
      </c>
      <c r="P70" s="11" t="s">
        <v>342</v>
      </c>
      <c r="Q70" s="11" t="s">
        <v>433</v>
      </c>
      <c r="R70" s="11" t="s">
        <v>191</v>
      </c>
      <c r="S70" s="14" t="n">
        <v>0.00875</v>
      </c>
      <c r="T70" s="11" t="s">
        <v>434</v>
      </c>
    </row>
    <row r="71" customFormat="false" ht="15" hidden="false" customHeight="true" outlineLevel="0" collapsed="false">
      <c r="A71" s="11" t="s">
        <v>109</v>
      </c>
      <c r="B71" s="12" t="s">
        <v>106</v>
      </c>
      <c r="C71" s="11" t="s">
        <v>99</v>
      </c>
      <c r="D71" s="11" t="s">
        <v>324</v>
      </c>
      <c r="E71" s="11"/>
      <c r="F71" s="14" t="n">
        <v>0.0179282407407407</v>
      </c>
      <c r="G71" s="14" t="n">
        <v>0.154988425925926</v>
      </c>
      <c r="H71" s="13" t="n">
        <v>1</v>
      </c>
      <c r="I71" s="13" t="n">
        <v>0.62</v>
      </c>
      <c r="J71" s="11" t="s">
        <v>435</v>
      </c>
      <c r="K71" s="11" t="s">
        <v>334</v>
      </c>
      <c r="L71" s="11" t="s">
        <v>276</v>
      </c>
      <c r="M71" s="11" t="n">
        <v>117</v>
      </c>
      <c r="N71" s="11" t="n">
        <v>54</v>
      </c>
      <c r="O71" s="11" t="s">
        <v>436</v>
      </c>
      <c r="P71" s="11" t="s">
        <v>437</v>
      </c>
      <c r="Q71" s="11" t="s">
        <v>438</v>
      </c>
      <c r="R71" s="11" t="s">
        <v>439</v>
      </c>
      <c r="S71" s="14" t="n">
        <v>0.00842592592592593</v>
      </c>
      <c r="T71" s="11" t="s">
        <v>440</v>
      </c>
    </row>
    <row r="72" customFormat="false" ht="15" hidden="false" customHeight="true" outlineLevel="0" collapsed="false">
      <c r="A72" s="11" t="s">
        <v>109</v>
      </c>
      <c r="B72" s="12" t="s">
        <v>106</v>
      </c>
      <c r="C72" s="11" t="s">
        <v>99</v>
      </c>
      <c r="D72" s="11" t="s">
        <v>329</v>
      </c>
      <c r="E72" s="11"/>
      <c r="F72" s="14" t="n">
        <v>0.0224305555555556</v>
      </c>
      <c r="G72" s="14" t="n">
        <v>0.177418981481482</v>
      </c>
      <c r="H72" s="13" t="n">
        <v>1</v>
      </c>
      <c r="I72" s="13" t="n">
        <v>0.62</v>
      </c>
      <c r="J72" s="11" t="s">
        <v>441</v>
      </c>
      <c r="K72" s="11" t="s">
        <v>187</v>
      </c>
      <c r="L72" s="11" t="s">
        <v>410</v>
      </c>
      <c r="M72" s="11" t="n">
        <v>83</v>
      </c>
      <c r="N72" s="11" t="n">
        <v>148</v>
      </c>
      <c r="O72" s="11" t="s">
        <v>442</v>
      </c>
      <c r="P72" s="11" t="s">
        <v>442</v>
      </c>
      <c r="Q72" s="11" t="s">
        <v>443</v>
      </c>
      <c r="R72" s="11" t="s">
        <v>416</v>
      </c>
      <c r="S72" s="14" t="n">
        <v>0.00824074074074074</v>
      </c>
      <c r="T72" s="11" t="s">
        <v>444</v>
      </c>
    </row>
    <row r="73" customFormat="false" ht="15" hidden="false" customHeight="true" outlineLevel="0" collapsed="false">
      <c r="A73" s="11" t="s">
        <v>109</v>
      </c>
      <c r="B73" s="12" t="s">
        <v>106</v>
      </c>
      <c r="C73" s="11" t="s">
        <v>99</v>
      </c>
      <c r="D73" s="11" t="s">
        <v>295</v>
      </c>
      <c r="E73" s="11"/>
      <c r="F73" s="14" t="n">
        <v>0.0119212962962963</v>
      </c>
      <c r="G73" s="14" t="n">
        <v>0.189340277777778</v>
      </c>
      <c r="H73" s="13" t="n">
        <v>1</v>
      </c>
      <c r="I73" s="13" t="n">
        <v>0.62</v>
      </c>
      <c r="J73" s="11" t="s">
        <v>445</v>
      </c>
      <c r="K73" s="11" t="s">
        <v>254</v>
      </c>
      <c r="L73" s="11" t="s">
        <v>446</v>
      </c>
      <c r="M73" s="11" t="n">
        <v>26</v>
      </c>
      <c r="N73" s="11" t="n">
        <v>32</v>
      </c>
      <c r="O73" s="11" t="s">
        <v>373</v>
      </c>
      <c r="P73" s="11" t="s">
        <v>390</v>
      </c>
      <c r="Q73" s="11" t="s">
        <v>447</v>
      </c>
      <c r="R73" s="11" t="s">
        <v>448</v>
      </c>
      <c r="S73" s="14" t="n">
        <v>0.00986111111111111</v>
      </c>
      <c r="T73" s="11" t="s">
        <v>449</v>
      </c>
    </row>
    <row r="74" customFormat="false" ht="15" hidden="false" customHeight="true" outlineLevel="0" collapsed="false">
      <c r="A74" s="11" t="s">
        <v>109</v>
      </c>
      <c r="B74" s="12" t="s">
        <v>106</v>
      </c>
      <c r="C74" s="11" t="s">
        <v>99</v>
      </c>
      <c r="D74" s="11" t="s">
        <v>224</v>
      </c>
      <c r="E74" s="11"/>
      <c r="F74" s="14" t="n">
        <v>0.0175115740740741</v>
      </c>
      <c r="G74" s="14" t="n">
        <v>0.206851851851852</v>
      </c>
      <c r="H74" s="13" t="n">
        <v>1</v>
      </c>
      <c r="I74" s="13" t="n">
        <v>0.62</v>
      </c>
      <c r="J74" s="11" t="s">
        <v>450</v>
      </c>
      <c r="K74" s="11" t="s">
        <v>239</v>
      </c>
      <c r="L74" s="11" t="s">
        <v>152</v>
      </c>
      <c r="M74" s="11" t="n">
        <v>128</v>
      </c>
      <c r="N74" s="11" t="n">
        <v>7</v>
      </c>
      <c r="O74" s="11" t="s">
        <v>428</v>
      </c>
      <c r="P74" s="11" t="s">
        <v>304</v>
      </c>
      <c r="Q74" s="11" t="s">
        <v>410</v>
      </c>
      <c r="R74" s="11" t="s">
        <v>451</v>
      </c>
      <c r="S74" s="14" t="n">
        <v>0.0123032407407407</v>
      </c>
      <c r="T74" s="11" t="s">
        <v>452</v>
      </c>
    </row>
    <row r="75" customFormat="false" ht="15" hidden="false" customHeight="true" outlineLevel="0" collapsed="false">
      <c r="A75" s="11" t="s">
        <v>109</v>
      </c>
      <c r="B75" s="12" t="s">
        <v>106</v>
      </c>
      <c r="C75" s="11" t="s">
        <v>99</v>
      </c>
      <c r="D75" s="11" t="s">
        <v>332</v>
      </c>
      <c r="E75" s="11"/>
      <c r="F75" s="14" t="n">
        <v>0.0160763888888889</v>
      </c>
      <c r="G75" s="14" t="n">
        <v>0.222928240740741</v>
      </c>
      <c r="H75" s="13" t="n">
        <v>1</v>
      </c>
      <c r="I75" s="13" t="n">
        <v>0.62</v>
      </c>
      <c r="J75" s="11" t="s">
        <v>453</v>
      </c>
      <c r="K75" s="11" t="s">
        <v>222</v>
      </c>
      <c r="L75" s="11" t="s">
        <v>223</v>
      </c>
      <c r="M75" s="11" t="n">
        <v>24</v>
      </c>
      <c r="N75" s="11" t="n">
        <v>60</v>
      </c>
      <c r="O75" s="11" t="s">
        <v>454</v>
      </c>
      <c r="P75" s="11" t="s">
        <v>342</v>
      </c>
      <c r="Q75" s="11" t="s">
        <v>455</v>
      </c>
      <c r="R75" s="11" t="s">
        <v>456</v>
      </c>
      <c r="S75" s="14" t="n">
        <v>0.00962962962962963</v>
      </c>
      <c r="T75" s="11" t="s">
        <v>457</v>
      </c>
    </row>
    <row r="76" customFormat="false" ht="15" hidden="false" customHeight="true" outlineLevel="0" collapsed="false">
      <c r="A76" s="11" t="s">
        <v>109</v>
      </c>
      <c r="B76" s="12" t="s">
        <v>106</v>
      </c>
      <c r="C76" s="11" t="s">
        <v>99</v>
      </c>
      <c r="D76" s="11" t="s">
        <v>349</v>
      </c>
      <c r="E76" s="11"/>
      <c r="F76" s="14" t="n">
        <v>0.0177662037037037</v>
      </c>
      <c r="G76" s="14" t="n">
        <v>0.240694444444444</v>
      </c>
      <c r="H76" s="13" t="n">
        <v>1</v>
      </c>
      <c r="I76" s="13" t="n">
        <v>0.62</v>
      </c>
      <c r="J76" s="11" t="s">
        <v>458</v>
      </c>
      <c r="K76" s="11" t="s">
        <v>353</v>
      </c>
      <c r="L76" s="11" t="s">
        <v>171</v>
      </c>
      <c r="M76" s="11" t="n">
        <v>12</v>
      </c>
      <c r="N76" s="11" t="n">
        <v>30</v>
      </c>
      <c r="O76" s="11" t="s">
        <v>333</v>
      </c>
      <c r="P76" s="11" t="s">
        <v>459</v>
      </c>
      <c r="Q76" s="11" t="s">
        <v>460</v>
      </c>
      <c r="R76" s="11" t="s">
        <v>461</v>
      </c>
      <c r="S76" s="14" t="n">
        <v>0.0112384259259259</v>
      </c>
      <c r="T76" s="11" t="s">
        <v>462</v>
      </c>
    </row>
    <row r="77" customFormat="false" ht="15" hidden="false" customHeight="true" outlineLevel="0" collapsed="false">
      <c r="A77" s="11" t="s">
        <v>109</v>
      </c>
      <c r="B77" s="12" t="s">
        <v>106</v>
      </c>
      <c r="C77" s="11" t="s">
        <v>99</v>
      </c>
      <c r="D77" s="11" t="s">
        <v>352</v>
      </c>
      <c r="E77" s="11"/>
      <c r="F77" s="14" t="n">
        <v>0.0199189814814815</v>
      </c>
      <c r="G77" s="14" t="n">
        <v>0.260613425925926</v>
      </c>
      <c r="H77" s="13" t="n">
        <v>1</v>
      </c>
      <c r="I77" s="13" t="n">
        <v>0.62</v>
      </c>
      <c r="J77" s="11" t="s">
        <v>463</v>
      </c>
      <c r="K77" s="11" t="s">
        <v>359</v>
      </c>
      <c r="L77" s="11" t="s">
        <v>210</v>
      </c>
      <c r="M77" s="11" t="n">
        <v>7</v>
      </c>
      <c r="N77" s="11" t="n">
        <v>103</v>
      </c>
      <c r="O77" s="11" t="s">
        <v>464</v>
      </c>
      <c r="P77" s="11" t="s">
        <v>459</v>
      </c>
      <c r="Q77" s="11" t="s">
        <v>386</v>
      </c>
      <c r="R77" s="11" t="s">
        <v>465</v>
      </c>
      <c r="S77" s="14" t="n">
        <v>0.0108333333333333</v>
      </c>
      <c r="T77" s="11" t="s">
        <v>392</v>
      </c>
    </row>
    <row r="78" customFormat="false" ht="15" hidden="false" customHeight="true" outlineLevel="0" collapsed="false">
      <c r="A78" s="11" t="s">
        <v>109</v>
      </c>
      <c r="B78" s="12" t="s">
        <v>106</v>
      </c>
      <c r="C78" s="11" t="s">
        <v>99</v>
      </c>
      <c r="D78" s="11" t="s">
        <v>240</v>
      </c>
      <c r="E78" s="11"/>
      <c r="F78" s="14" t="n">
        <v>0.0115046296296296</v>
      </c>
      <c r="G78" s="14" t="n">
        <v>0.272118055555556</v>
      </c>
      <c r="H78" s="13" t="n">
        <v>1</v>
      </c>
      <c r="I78" s="13" t="n">
        <v>0.62</v>
      </c>
      <c r="J78" s="11" t="s">
        <v>466</v>
      </c>
      <c r="K78" s="11" t="s">
        <v>210</v>
      </c>
      <c r="L78" s="11" t="s">
        <v>310</v>
      </c>
      <c r="M78" s="11" t="n">
        <v>51</v>
      </c>
      <c r="N78" s="11" t="n">
        <v>17</v>
      </c>
      <c r="O78" s="11" t="s">
        <v>378</v>
      </c>
      <c r="P78" s="11" t="s">
        <v>278</v>
      </c>
      <c r="Q78" s="11" t="s">
        <v>386</v>
      </c>
      <c r="R78" s="11" t="s">
        <v>467</v>
      </c>
      <c r="S78" s="14" t="n">
        <v>0.010474537037037</v>
      </c>
      <c r="T78" s="11" t="s">
        <v>468</v>
      </c>
    </row>
    <row r="79" customFormat="false" ht="15" hidden="false" customHeight="true" outlineLevel="0" collapsed="false">
      <c r="A79" s="11" t="s">
        <v>109</v>
      </c>
      <c r="B79" s="12" t="s">
        <v>106</v>
      </c>
      <c r="C79" s="11" t="s">
        <v>99</v>
      </c>
      <c r="D79" s="11" t="s">
        <v>232</v>
      </c>
      <c r="E79" s="11"/>
      <c r="F79" s="14" t="n">
        <v>0.0103935185185185</v>
      </c>
      <c r="G79" s="14" t="n">
        <v>0.282511574074074</v>
      </c>
      <c r="H79" s="13" t="n">
        <v>1</v>
      </c>
      <c r="I79" s="13" t="n">
        <v>0.62</v>
      </c>
      <c r="J79" s="11" t="s">
        <v>469</v>
      </c>
      <c r="K79" s="11" t="s">
        <v>222</v>
      </c>
      <c r="L79" s="11" t="s">
        <v>280</v>
      </c>
      <c r="M79" s="11" t="n">
        <v>7</v>
      </c>
      <c r="N79" s="11" t="n">
        <v>48</v>
      </c>
      <c r="O79" s="11" t="s">
        <v>470</v>
      </c>
      <c r="P79" s="11" t="s">
        <v>471</v>
      </c>
      <c r="Q79" s="11" t="s">
        <v>472</v>
      </c>
      <c r="R79" s="11" t="s">
        <v>473</v>
      </c>
      <c r="S79" s="14" t="n">
        <v>0.0096875</v>
      </c>
      <c r="T79" s="11" t="s">
        <v>474</v>
      </c>
    </row>
    <row r="80" customFormat="false" ht="15" hidden="false" customHeight="true" outlineLevel="0" collapsed="false">
      <c r="A80" s="11" t="s">
        <v>109</v>
      </c>
      <c r="B80" s="12" t="s">
        <v>106</v>
      </c>
      <c r="C80" s="11" t="s">
        <v>99</v>
      </c>
      <c r="D80" s="11" t="s">
        <v>464</v>
      </c>
      <c r="E80" s="11"/>
      <c r="F80" s="14" t="n">
        <v>0.0105671296296296</v>
      </c>
      <c r="G80" s="14" t="n">
        <v>0.293078703703704</v>
      </c>
      <c r="H80" s="13" t="n">
        <v>1</v>
      </c>
      <c r="I80" s="13" t="n">
        <v>0.62</v>
      </c>
      <c r="J80" s="11" t="s">
        <v>475</v>
      </c>
      <c r="K80" s="11" t="s">
        <v>230</v>
      </c>
      <c r="L80" s="11" t="s">
        <v>171</v>
      </c>
      <c r="M80" s="11" t="n">
        <v>19</v>
      </c>
      <c r="N80" s="11" t="n">
        <v>58</v>
      </c>
      <c r="O80" s="11" t="s">
        <v>447</v>
      </c>
      <c r="P80" s="11" t="s">
        <v>282</v>
      </c>
      <c r="Q80" s="11" t="s">
        <v>373</v>
      </c>
      <c r="R80" s="11" t="s">
        <v>215</v>
      </c>
      <c r="S80" s="14" t="n">
        <v>0.00990740740740741</v>
      </c>
      <c r="T80" s="11" t="s">
        <v>476</v>
      </c>
    </row>
    <row r="81" customFormat="false" ht="15" hidden="false" customHeight="true" outlineLevel="0" collapsed="false">
      <c r="A81" s="11" t="s">
        <v>109</v>
      </c>
      <c r="B81" s="12" t="s">
        <v>106</v>
      </c>
      <c r="C81" s="11" t="s">
        <v>99</v>
      </c>
      <c r="D81" s="11" t="s">
        <v>196</v>
      </c>
      <c r="E81" s="11"/>
      <c r="F81" s="14" t="n">
        <v>0.0110300925925926</v>
      </c>
      <c r="G81" s="14" t="n">
        <v>0.304108796296296</v>
      </c>
      <c r="H81" s="13" t="n">
        <v>1</v>
      </c>
      <c r="I81" s="13" t="n">
        <v>0.62</v>
      </c>
      <c r="J81" s="11" t="s">
        <v>477</v>
      </c>
      <c r="K81" s="11" t="s">
        <v>210</v>
      </c>
      <c r="L81" s="11" t="s">
        <v>142</v>
      </c>
      <c r="M81" s="11" t="n">
        <v>7</v>
      </c>
      <c r="N81" s="11" t="n">
        <v>63</v>
      </c>
      <c r="O81" s="11" t="s">
        <v>255</v>
      </c>
      <c r="P81" s="11" t="s">
        <v>378</v>
      </c>
      <c r="Q81" s="11" t="s">
        <v>478</v>
      </c>
      <c r="R81" s="11" t="s">
        <v>323</v>
      </c>
      <c r="S81" s="14" t="n">
        <v>0.0100231481481482</v>
      </c>
      <c r="T81" s="11" t="s">
        <v>479</v>
      </c>
    </row>
    <row r="82" customFormat="false" ht="15" hidden="false" customHeight="true" outlineLevel="0" collapsed="false">
      <c r="A82" s="11" t="s">
        <v>109</v>
      </c>
      <c r="B82" s="12" t="s">
        <v>106</v>
      </c>
      <c r="C82" s="11" t="s">
        <v>99</v>
      </c>
      <c r="D82" s="11" t="s">
        <v>160</v>
      </c>
      <c r="E82" s="11"/>
      <c r="F82" s="14" t="n">
        <v>0.0111342592592593</v>
      </c>
      <c r="G82" s="14" t="n">
        <v>0.315243055555556</v>
      </c>
      <c r="H82" s="13" t="n">
        <v>1</v>
      </c>
      <c r="I82" s="13" t="n">
        <v>0.62</v>
      </c>
      <c r="J82" s="11" t="s">
        <v>480</v>
      </c>
      <c r="K82" s="11" t="s">
        <v>200</v>
      </c>
      <c r="L82" s="11" t="s">
        <v>230</v>
      </c>
      <c r="M82" s="11" t="n">
        <v>0</v>
      </c>
      <c r="N82" s="11" t="n">
        <v>81</v>
      </c>
      <c r="O82" s="11" t="s">
        <v>379</v>
      </c>
      <c r="P82" s="11" t="s">
        <v>378</v>
      </c>
      <c r="Q82" s="11" t="s">
        <v>481</v>
      </c>
      <c r="R82" s="11" t="s">
        <v>482</v>
      </c>
      <c r="S82" s="14" t="n">
        <v>0.0100694444444445</v>
      </c>
      <c r="T82" s="11" t="s">
        <v>483</v>
      </c>
    </row>
    <row r="83" customFormat="false" ht="15" hidden="false" customHeight="true" outlineLevel="0" collapsed="false">
      <c r="A83" s="11" t="s">
        <v>109</v>
      </c>
      <c r="B83" s="12" t="s">
        <v>106</v>
      </c>
      <c r="C83" s="11" t="s">
        <v>99</v>
      </c>
      <c r="D83" s="11" t="s">
        <v>218</v>
      </c>
      <c r="E83" s="11"/>
      <c r="F83" s="14" t="n">
        <v>0.0136226851851852</v>
      </c>
      <c r="G83" s="14" t="n">
        <v>0.328865740740741</v>
      </c>
      <c r="H83" s="13" t="n">
        <v>1</v>
      </c>
      <c r="I83" s="13" t="n">
        <v>0.62</v>
      </c>
      <c r="J83" s="11" t="s">
        <v>484</v>
      </c>
      <c r="K83" s="11" t="s">
        <v>200</v>
      </c>
      <c r="L83" s="11" t="s">
        <v>205</v>
      </c>
      <c r="M83" s="11" t="n">
        <v>0</v>
      </c>
      <c r="N83" s="11" t="n">
        <v>118</v>
      </c>
      <c r="O83" s="11" t="s">
        <v>312</v>
      </c>
      <c r="P83" s="11" t="s">
        <v>373</v>
      </c>
      <c r="Q83" s="11" t="s">
        <v>367</v>
      </c>
      <c r="R83" s="11" t="s">
        <v>485</v>
      </c>
      <c r="S83" s="14" t="n">
        <v>0.0121759259259259</v>
      </c>
      <c r="T83" s="11" t="s">
        <v>486</v>
      </c>
    </row>
    <row r="84" customFormat="false" ht="15" hidden="false" customHeight="true" outlineLevel="0" collapsed="false">
      <c r="A84" s="11" t="s">
        <v>109</v>
      </c>
      <c r="B84" s="12" t="s">
        <v>106</v>
      </c>
      <c r="C84" s="11" t="s">
        <v>99</v>
      </c>
      <c r="D84" s="11" t="s">
        <v>272</v>
      </c>
      <c r="E84" s="11"/>
      <c r="F84" s="14" t="n">
        <v>0.0143287037037037</v>
      </c>
      <c r="G84" s="14" t="n">
        <v>0.343206018518519</v>
      </c>
      <c r="H84" s="13" t="n">
        <v>1</v>
      </c>
      <c r="I84" s="13" t="n">
        <v>0.62</v>
      </c>
      <c r="J84" s="11" t="s">
        <v>487</v>
      </c>
      <c r="K84" s="11" t="s">
        <v>299</v>
      </c>
      <c r="L84" s="11" t="s">
        <v>331</v>
      </c>
      <c r="M84" s="11" t="n">
        <v>3</v>
      </c>
      <c r="N84" s="11" t="n">
        <v>118</v>
      </c>
      <c r="O84" s="11" t="s">
        <v>437</v>
      </c>
      <c r="P84" s="11" t="s">
        <v>488</v>
      </c>
      <c r="Q84" s="11" t="s">
        <v>470</v>
      </c>
      <c r="R84" s="11" t="s">
        <v>489</v>
      </c>
      <c r="S84" s="14" t="n">
        <v>0.0123032407407407</v>
      </c>
      <c r="T84" s="11" t="s">
        <v>452</v>
      </c>
    </row>
    <row r="85" customFormat="false" ht="15" hidden="false" customHeight="true" outlineLevel="0" collapsed="false">
      <c r="A85" s="11" t="s">
        <v>109</v>
      </c>
      <c r="B85" s="12" t="s">
        <v>106</v>
      </c>
      <c r="C85" s="11" t="s">
        <v>99</v>
      </c>
      <c r="D85" s="11" t="s">
        <v>319</v>
      </c>
      <c r="E85" s="11"/>
      <c r="F85" s="14" t="n">
        <v>0.0055625</v>
      </c>
      <c r="G85" s="14" t="n">
        <v>0.348761574074074</v>
      </c>
      <c r="H85" s="13" t="n">
        <v>0.4</v>
      </c>
      <c r="I85" s="13" t="n">
        <v>0.25</v>
      </c>
      <c r="J85" s="11" t="s">
        <v>490</v>
      </c>
      <c r="K85" s="11" t="s">
        <v>200</v>
      </c>
      <c r="L85" s="11" t="s">
        <v>210</v>
      </c>
      <c r="M85" s="11" t="n">
        <v>0</v>
      </c>
      <c r="N85" s="11" t="n">
        <v>34</v>
      </c>
      <c r="O85" s="11" t="s">
        <v>259</v>
      </c>
      <c r="P85" s="11" t="s">
        <v>470</v>
      </c>
      <c r="Q85" s="11" t="s">
        <v>287</v>
      </c>
      <c r="R85" s="11" t="s">
        <v>491</v>
      </c>
      <c r="S85" s="14" t="n">
        <v>0.00422453703703704</v>
      </c>
      <c r="T85" s="11" t="s">
        <v>492</v>
      </c>
    </row>
    <row r="86" customFormat="false" ht="15" hidden="false" customHeight="true" outlineLevel="0" collapsed="false">
      <c r="A86" s="21" t="s">
        <v>109</v>
      </c>
      <c r="B86" s="22" t="s">
        <v>106</v>
      </c>
      <c r="C86" s="21" t="s">
        <v>99</v>
      </c>
      <c r="D86" s="21" t="s">
        <v>382</v>
      </c>
      <c r="E86" s="21"/>
      <c r="F86" s="23" t="n">
        <v>0.348761574074074</v>
      </c>
      <c r="G86" s="23" t="n">
        <v>0.348761574074074</v>
      </c>
      <c r="H86" s="24" t="n">
        <v>26.41</v>
      </c>
      <c r="I86" s="24" t="n">
        <v>16.41</v>
      </c>
      <c r="J86" s="21" t="s">
        <v>493</v>
      </c>
      <c r="K86" s="21" t="s">
        <v>331</v>
      </c>
      <c r="L86" s="21" t="s">
        <v>402</v>
      </c>
      <c r="M86" s="21" t="n">
        <v>1209</v>
      </c>
      <c r="N86" s="21" t="n">
        <v>1224</v>
      </c>
      <c r="O86" s="21" t="s">
        <v>367</v>
      </c>
      <c r="P86" s="21" t="s">
        <v>379</v>
      </c>
      <c r="Q86" s="21" t="s">
        <v>494</v>
      </c>
      <c r="R86" s="21" t="s">
        <v>191</v>
      </c>
      <c r="S86" s="23" t="n">
        <v>0.264409722222222</v>
      </c>
      <c r="T86" s="21" t="s">
        <v>495</v>
      </c>
    </row>
    <row r="87" customFormat="false" ht="15" hidden="false" customHeight="true" outlineLevel="0" collapsed="false">
      <c r="A87" s="11" t="s">
        <v>114</v>
      </c>
      <c r="B87" s="12" t="s">
        <v>106</v>
      </c>
      <c r="C87" s="11" t="s">
        <v>99</v>
      </c>
      <c r="D87" s="11" t="s">
        <v>140</v>
      </c>
      <c r="E87" s="11"/>
      <c r="F87" s="14" t="n">
        <v>0.0110416666666667</v>
      </c>
      <c r="G87" s="14" t="n">
        <v>0.0110416666666667</v>
      </c>
      <c r="H87" s="13" t="n">
        <v>1</v>
      </c>
      <c r="I87" s="13" t="n">
        <v>0.62</v>
      </c>
      <c r="J87" s="11" t="s">
        <v>477</v>
      </c>
      <c r="K87" s="11" t="s">
        <v>205</v>
      </c>
      <c r="L87" s="11" t="s">
        <v>310</v>
      </c>
      <c r="M87" s="11" t="n">
        <v>102</v>
      </c>
      <c r="N87" s="11" t="n">
        <v>0</v>
      </c>
      <c r="O87" s="11" t="s">
        <v>496</v>
      </c>
      <c r="P87" s="11" t="s">
        <v>373</v>
      </c>
      <c r="Q87" s="11" t="s">
        <v>149</v>
      </c>
      <c r="R87" s="11" t="s">
        <v>497</v>
      </c>
      <c r="S87" s="14" t="n">
        <v>0.0102083333333333</v>
      </c>
      <c r="T87" s="11" t="s">
        <v>498</v>
      </c>
    </row>
    <row r="88" customFormat="false" ht="15" hidden="false" customHeight="true" outlineLevel="0" collapsed="false">
      <c r="A88" s="11" t="s">
        <v>114</v>
      </c>
      <c r="B88" s="12" t="s">
        <v>106</v>
      </c>
      <c r="C88" s="11" t="s">
        <v>99</v>
      </c>
      <c r="D88" s="11" t="s">
        <v>148</v>
      </c>
      <c r="E88" s="11"/>
      <c r="F88" s="14" t="n">
        <v>0.011724537037037</v>
      </c>
      <c r="G88" s="14" t="n">
        <v>0.0227662037037037</v>
      </c>
      <c r="H88" s="13" t="n">
        <v>1</v>
      </c>
      <c r="I88" s="13" t="n">
        <v>0.62</v>
      </c>
      <c r="J88" s="11" t="s">
        <v>499</v>
      </c>
      <c r="K88" s="11" t="s">
        <v>195</v>
      </c>
      <c r="L88" s="11" t="s">
        <v>231</v>
      </c>
      <c r="M88" s="11" t="n">
        <v>113</v>
      </c>
      <c r="N88" s="11" t="n">
        <v>0</v>
      </c>
      <c r="O88" s="11" t="s">
        <v>149</v>
      </c>
      <c r="P88" s="11" t="s">
        <v>347</v>
      </c>
      <c r="Q88" s="11" t="s">
        <v>254</v>
      </c>
      <c r="R88" s="11" t="s">
        <v>500</v>
      </c>
      <c r="S88" s="14" t="n">
        <v>0.010462962962963</v>
      </c>
      <c r="T88" s="11" t="s">
        <v>501</v>
      </c>
    </row>
    <row r="89" customFormat="false" ht="15" hidden="false" customHeight="true" outlineLevel="0" collapsed="false">
      <c r="A89" s="11" t="s">
        <v>114</v>
      </c>
      <c r="B89" s="12" t="s">
        <v>106</v>
      </c>
      <c r="C89" s="11" t="s">
        <v>99</v>
      </c>
      <c r="D89" s="11" t="s">
        <v>151</v>
      </c>
      <c r="E89" s="11"/>
      <c r="F89" s="14" t="n">
        <v>0.0109722222222222</v>
      </c>
      <c r="G89" s="14" t="n">
        <v>0.0337384259259259</v>
      </c>
      <c r="H89" s="13" t="n">
        <v>1</v>
      </c>
      <c r="I89" s="13" t="n">
        <v>0.62</v>
      </c>
      <c r="J89" s="11" t="s">
        <v>502</v>
      </c>
      <c r="K89" s="11" t="s">
        <v>372</v>
      </c>
      <c r="L89" s="11" t="s">
        <v>171</v>
      </c>
      <c r="M89" s="11" t="n">
        <v>75</v>
      </c>
      <c r="N89" s="11" t="n">
        <v>0</v>
      </c>
      <c r="O89" s="11" t="s">
        <v>503</v>
      </c>
      <c r="P89" s="11" t="s">
        <v>351</v>
      </c>
      <c r="Q89" s="11" t="s">
        <v>504</v>
      </c>
      <c r="R89" s="11" t="s">
        <v>505</v>
      </c>
      <c r="S89" s="14" t="n">
        <v>0.010625</v>
      </c>
      <c r="T89" s="11" t="s">
        <v>506</v>
      </c>
    </row>
    <row r="90" customFormat="false" ht="15" hidden="false" customHeight="true" outlineLevel="0" collapsed="false">
      <c r="A90" s="11" t="s">
        <v>114</v>
      </c>
      <c r="B90" s="12" t="s">
        <v>106</v>
      </c>
      <c r="C90" s="11" t="s">
        <v>99</v>
      </c>
      <c r="D90" s="11" t="s">
        <v>156</v>
      </c>
      <c r="E90" s="11"/>
      <c r="F90" s="14" t="n">
        <v>0.0114351851851852</v>
      </c>
      <c r="G90" s="14" t="n">
        <v>0.0451736111111111</v>
      </c>
      <c r="H90" s="13" t="n">
        <v>1</v>
      </c>
      <c r="I90" s="13" t="n">
        <v>0.62</v>
      </c>
      <c r="J90" s="11" t="s">
        <v>507</v>
      </c>
      <c r="K90" s="11" t="s">
        <v>200</v>
      </c>
      <c r="L90" s="11" t="s">
        <v>239</v>
      </c>
      <c r="M90" s="11" t="n">
        <v>58</v>
      </c>
      <c r="N90" s="11" t="n">
        <v>8</v>
      </c>
      <c r="O90" s="11" t="s">
        <v>270</v>
      </c>
      <c r="P90" s="11" t="s">
        <v>367</v>
      </c>
      <c r="Q90" s="11" t="s">
        <v>351</v>
      </c>
      <c r="R90" s="11" t="s">
        <v>489</v>
      </c>
      <c r="S90" s="14" t="n">
        <v>0.0112615740740741</v>
      </c>
      <c r="T90" s="11" t="s">
        <v>508</v>
      </c>
    </row>
    <row r="91" customFormat="false" ht="15" hidden="false" customHeight="true" outlineLevel="0" collapsed="false">
      <c r="A91" s="11" t="s">
        <v>114</v>
      </c>
      <c r="B91" s="12" t="s">
        <v>106</v>
      </c>
      <c r="C91" s="11" t="s">
        <v>99</v>
      </c>
      <c r="D91" s="11" t="s">
        <v>189</v>
      </c>
      <c r="E91" s="11"/>
      <c r="F91" s="14" t="n">
        <v>0.0116203703703704</v>
      </c>
      <c r="G91" s="14" t="n">
        <v>0.0567939814814815</v>
      </c>
      <c r="H91" s="13" t="n">
        <v>1</v>
      </c>
      <c r="I91" s="13" t="n">
        <v>0.62</v>
      </c>
      <c r="J91" s="11" t="s">
        <v>509</v>
      </c>
      <c r="K91" s="11" t="s">
        <v>236</v>
      </c>
      <c r="L91" s="11" t="s">
        <v>239</v>
      </c>
      <c r="M91" s="11" t="n">
        <v>61</v>
      </c>
      <c r="N91" s="11" t="n">
        <v>21</v>
      </c>
      <c r="O91" s="11" t="s">
        <v>460</v>
      </c>
      <c r="P91" s="11" t="s">
        <v>510</v>
      </c>
      <c r="Q91" s="11" t="s">
        <v>415</v>
      </c>
      <c r="R91" s="11" t="s">
        <v>461</v>
      </c>
      <c r="S91" s="14" t="n">
        <v>0.0112615740740741</v>
      </c>
      <c r="T91" s="11" t="s">
        <v>508</v>
      </c>
    </row>
    <row r="92" customFormat="false" ht="15" hidden="false" customHeight="true" outlineLevel="0" collapsed="false">
      <c r="A92" s="11" t="s">
        <v>114</v>
      </c>
      <c r="B92" s="12" t="s">
        <v>106</v>
      </c>
      <c r="C92" s="11" t="s">
        <v>99</v>
      </c>
      <c r="D92" s="11" t="s">
        <v>298</v>
      </c>
      <c r="E92" s="11"/>
      <c r="F92" s="14" t="n">
        <v>0.010162037037037</v>
      </c>
      <c r="G92" s="14" t="n">
        <v>0.0669560185185185</v>
      </c>
      <c r="H92" s="13" t="n">
        <v>1</v>
      </c>
      <c r="I92" s="13" t="n">
        <v>0.62</v>
      </c>
      <c r="J92" s="11" t="s">
        <v>511</v>
      </c>
      <c r="K92" s="11" t="s">
        <v>398</v>
      </c>
      <c r="L92" s="11" t="s">
        <v>230</v>
      </c>
      <c r="M92" s="11" t="n">
        <v>37</v>
      </c>
      <c r="N92" s="11" t="n">
        <v>4</v>
      </c>
      <c r="O92" s="11" t="s">
        <v>366</v>
      </c>
      <c r="P92" s="11" t="s">
        <v>386</v>
      </c>
      <c r="Q92" s="11" t="s">
        <v>367</v>
      </c>
      <c r="R92" s="11" t="s">
        <v>456</v>
      </c>
      <c r="S92" s="14" t="n">
        <v>0.0101273148148148</v>
      </c>
      <c r="T92" s="11" t="s">
        <v>512</v>
      </c>
    </row>
    <row r="93" customFormat="false" ht="15" hidden="false" customHeight="true" outlineLevel="0" collapsed="false">
      <c r="A93" s="11" t="s">
        <v>114</v>
      </c>
      <c r="B93" s="12" t="s">
        <v>106</v>
      </c>
      <c r="C93" s="11" t="s">
        <v>99</v>
      </c>
      <c r="D93" s="11" t="s">
        <v>144</v>
      </c>
      <c r="E93" s="11"/>
      <c r="F93" s="14" t="n">
        <v>0.01</v>
      </c>
      <c r="G93" s="14" t="n">
        <v>0.0769560185185185</v>
      </c>
      <c r="H93" s="13" t="n">
        <v>1</v>
      </c>
      <c r="I93" s="13" t="n">
        <v>0.62</v>
      </c>
      <c r="J93" s="11" t="s">
        <v>283</v>
      </c>
      <c r="K93" s="11" t="s">
        <v>254</v>
      </c>
      <c r="L93" s="11" t="s">
        <v>326</v>
      </c>
      <c r="M93" s="11" t="n">
        <v>32</v>
      </c>
      <c r="N93" s="11" t="n">
        <v>50</v>
      </c>
      <c r="O93" s="11" t="s">
        <v>282</v>
      </c>
      <c r="P93" s="11" t="s">
        <v>504</v>
      </c>
      <c r="Q93" s="11" t="s">
        <v>255</v>
      </c>
      <c r="R93" s="11" t="s">
        <v>513</v>
      </c>
      <c r="S93" s="14" t="n">
        <v>0.00979166666666667</v>
      </c>
      <c r="T93" s="11" t="s">
        <v>514</v>
      </c>
    </row>
    <row r="94" customFormat="false" ht="15" hidden="false" customHeight="true" outlineLevel="0" collapsed="false">
      <c r="A94" s="11" t="s">
        <v>114</v>
      </c>
      <c r="B94" s="12" t="s">
        <v>106</v>
      </c>
      <c r="C94" s="11" t="s">
        <v>99</v>
      </c>
      <c r="D94" s="11" t="s">
        <v>213</v>
      </c>
      <c r="E94" s="11"/>
      <c r="F94" s="14" t="n">
        <v>0.0117476851851852</v>
      </c>
      <c r="G94" s="14" t="n">
        <v>0.0887037037037037</v>
      </c>
      <c r="H94" s="13" t="n">
        <v>1</v>
      </c>
      <c r="I94" s="13" t="n">
        <v>0.62</v>
      </c>
      <c r="J94" s="11" t="s">
        <v>515</v>
      </c>
      <c r="K94" s="11" t="s">
        <v>359</v>
      </c>
      <c r="L94" s="11" t="s">
        <v>372</v>
      </c>
      <c r="M94" s="11" t="n">
        <v>27</v>
      </c>
      <c r="N94" s="11" t="n">
        <v>17</v>
      </c>
      <c r="O94" s="11" t="s">
        <v>516</v>
      </c>
      <c r="P94" s="11" t="s">
        <v>351</v>
      </c>
      <c r="Q94" s="11" t="s">
        <v>390</v>
      </c>
      <c r="R94" s="11" t="s">
        <v>517</v>
      </c>
      <c r="S94" s="14" t="n">
        <v>0.00974537037037037</v>
      </c>
      <c r="T94" s="11" t="s">
        <v>518</v>
      </c>
    </row>
    <row r="95" customFormat="false" ht="15" hidden="false" customHeight="true" outlineLevel="0" collapsed="false">
      <c r="A95" s="11" t="s">
        <v>114</v>
      </c>
      <c r="B95" s="12" t="s">
        <v>106</v>
      </c>
      <c r="C95" s="11" t="s">
        <v>99</v>
      </c>
      <c r="D95" s="11" t="s">
        <v>300</v>
      </c>
      <c r="E95" s="11"/>
      <c r="F95" s="14" t="n">
        <v>0.0102314814814815</v>
      </c>
      <c r="G95" s="14" t="n">
        <v>0.0989351851851852</v>
      </c>
      <c r="H95" s="13" t="n">
        <v>1</v>
      </c>
      <c r="I95" s="13" t="n">
        <v>0.62</v>
      </c>
      <c r="J95" s="11" t="s">
        <v>519</v>
      </c>
      <c r="K95" s="11" t="s">
        <v>254</v>
      </c>
      <c r="L95" s="11" t="s">
        <v>183</v>
      </c>
      <c r="M95" s="11" t="n">
        <v>37</v>
      </c>
      <c r="N95" s="11" t="n">
        <v>38</v>
      </c>
      <c r="O95" s="11" t="s">
        <v>366</v>
      </c>
      <c r="P95" s="11" t="s">
        <v>339</v>
      </c>
      <c r="Q95" s="11" t="s">
        <v>351</v>
      </c>
      <c r="R95" s="11" t="s">
        <v>467</v>
      </c>
      <c r="S95" s="14" t="n">
        <v>0.0100810185185185</v>
      </c>
      <c r="T95" s="11" t="s">
        <v>520</v>
      </c>
    </row>
    <row r="96" customFormat="false" ht="15" hidden="false" customHeight="true" outlineLevel="0" collapsed="false">
      <c r="A96" s="11" t="s">
        <v>114</v>
      </c>
      <c r="B96" s="12" t="s">
        <v>106</v>
      </c>
      <c r="C96" s="11" t="s">
        <v>99</v>
      </c>
      <c r="D96" s="11" t="s">
        <v>167</v>
      </c>
      <c r="E96" s="11"/>
      <c r="F96" s="14" t="n">
        <v>0.0100115740740741</v>
      </c>
      <c r="G96" s="14" t="n">
        <v>0.108946759259259</v>
      </c>
      <c r="H96" s="13" t="n">
        <v>1</v>
      </c>
      <c r="I96" s="13" t="n">
        <v>0.62</v>
      </c>
      <c r="J96" s="11" t="s">
        <v>495</v>
      </c>
      <c r="K96" s="11" t="s">
        <v>200</v>
      </c>
      <c r="L96" s="11" t="s">
        <v>217</v>
      </c>
      <c r="M96" s="11" t="n">
        <v>23</v>
      </c>
      <c r="N96" s="11" t="n">
        <v>49</v>
      </c>
      <c r="O96" s="11" t="s">
        <v>361</v>
      </c>
      <c r="P96" s="11" t="s">
        <v>339</v>
      </c>
      <c r="Q96" s="11" t="s">
        <v>347</v>
      </c>
      <c r="R96" s="11" t="s">
        <v>521</v>
      </c>
      <c r="S96" s="14" t="n">
        <v>0.00996527777777778</v>
      </c>
      <c r="T96" s="11" t="s">
        <v>522</v>
      </c>
    </row>
    <row r="97" customFormat="false" ht="15" hidden="false" customHeight="true" outlineLevel="0" collapsed="false">
      <c r="A97" s="11" t="s">
        <v>114</v>
      </c>
      <c r="B97" s="12" t="s">
        <v>106</v>
      </c>
      <c r="C97" s="11" t="s">
        <v>99</v>
      </c>
      <c r="D97" s="11" t="s">
        <v>317</v>
      </c>
      <c r="E97" s="11"/>
      <c r="F97" s="14" t="n">
        <v>0.00809027777777778</v>
      </c>
      <c r="G97" s="14" t="n">
        <v>0.117037037037037</v>
      </c>
      <c r="H97" s="13" t="n">
        <v>1</v>
      </c>
      <c r="I97" s="13" t="n">
        <v>0.62</v>
      </c>
      <c r="J97" s="11" t="s">
        <v>523</v>
      </c>
      <c r="K97" s="11" t="s">
        <v>230</v>
      </c>
      <c r="L97" s="11" t="s">
        <v>172</v>
      </c>
      <c r="M97" s="11" t="n">
        <v>4</v>
      </c>
      <c r="N97" s="11" t="n">
        <v>56</v>
      </c>
      <c r="O97" s="11" t="s">
        <v>524</v>
      </c>
      <c r="P97" s="11" t="s">
        <v>496</v>
      </c>
      <c r="Q97" s="11" t="s">
        <v>425</v>
      </c>
      <c r="R97" s="11" t="s">
        <v>525</v>
      </c>
      <c r="S97" s="14" t="n">
        <v>0.00803240740740741</v>
      </c>
      <c r="T97" s="11" t="s">
        <v>526</v>
      </c>
    </row>
    <row r="98" customFormat="false" ht="15" hidden="false" customHeight="true" outlineLevel="0" collapsed="false">
      <c r="A98" s="11" t="s">
        <v>114</v>
      </c>
      <c r="B98" s="12" t="s">
        <v>106</v>
      </c>
      <c r="C98" s="11" t="s">
        <v>99</v>
      </c>
      <c r="D98" s="11" t="s">
        <v>249</v>
      </c>
      <c r="E98" s="11"/>
      <c r="F98" s="14" t="n">
        <v>0.0101736111111111</v>
      </c>
      <c r="G98" s="14" t="n">
        <v>0.127210648148148</v>
      </c>
      <c r="H98" s="13" t="n">
        <v>1</v>
      </c>
      <c r="I98" s="13" t="n">
        <v>0.62</v>
      </c>
      <c r="J98" s="11" t="s">
        <v>511</v>
      </c>
      <c r="K98" s="11" t="s">
        <v>210</v>
      </c>
      <c r="L98" s="11" t="s">
        <v>410</v>
      </c>
      <c r="M98" s="11" t="n">
        <v>5</v>
      </c>
      <c r="N98" s="11" t="n">
        <v>64</v>
      </c>
      <c r="O98" s="11" t="s">
        <v>278</v>
      </c>
      <c r="P98" s="11" t="s">
        <v>377</v>
      </c>
      <c r="Q98" s="11" t="s">
        <v>527</v>
      </c>
      <c r="R98" s="11" t="s">
        <v>146</v>
      </c>
      <c r="S98" s="14" t="n">
        <v>0.00997685185185185</v>
      </c>
      <c r="T98" s="11" t="s">
        <v>528</v>
      </c>
    </row>
    <row r="99" customFormat="false" ht="15" hidden="false" customHeight="true" outlineLevel="0" collapsed="false">
      <c r="A99" s="11" t="s">
        <v>114</v>
      </c>
      <c r="B99" s="12" t="s">
        <v>106</v>
      </c>
      <c r="C99" s="11" t="s">
        <v>99</v>
      </c>
      <c r="D99" s="11" t="s">
        <v>324</v>
      </c>
      <c r="E99" s="11"/>
      <c r="F99" s="14" t="n">
        <v>0.0113194444444444</v>
      </c>
      <c r="G99" s="14" t="n">
        <v>0.138530092592593</v>
      </c>
      <c r="H99" s="13" t="n">
        <v>1</v>
      </c>
      <c r="I99" s="13" t="n">
        <v>0.62</v>
      </c>
      <c r="J99" s="11" t="s">
        <v>529</v>
      </c>
      <c r="K99" s="11" t="s">
        <v>299</v>
      </c>
      <c r="L99" s="11" t="s">
        <v>187</v>
      </c>
      <c r="M99" s="11" t="n">
        <v>0</v>
      </c>
      <c r="N99" s="11" t="n">
        <v>116</v>
      </c>
      <c r="O99" s="11" t="s">
        <v>379</v>
      </c>
      <c r="P99" s="11" t="s">
        <v>377</v>
      </c>
      <c r="Q99" s="11" t="s">
        <v>527</v>
      </c>
      <c r="R99" s="11" t="s">
        <v>246</v>
      </c>
      <c r="S99" s="14" t="n">
        <v>0.0111226851851852</v>
      </c>
      <c r="T99" s="11" t="s">
        <v>530</v>
      </c>
    </row>
    <row r="100" customFormat="false" ht="15" hidden="false" customHeight="true" outlineLevel="0" collapsed="false">
      <c r="A100" s="11" t="s">
        <v>114</v>
      </c>
      <c r="B100" s="12" t="s">
        <v>106</v>
      </c>
      <c r="C100" s="11" t="s">
        <v>99</v>
      </c>
      <c r="D100" s="11" t="s">
        <v>329</v>
      </c>
      <c r="E100" s="11"/>
      <c r="F100" s="14" t="n">
        <v>0.0104050925925926</v>
      </c>
      <c r="G100" s="14" t="n">
        <v>0.148935185185185</v>
      </c>
      <c r="H100" s="13" t="n">
        <v>1</v>
      </c>
      <c r="I100" s="13" t="n">
        <v>0.62</v>
      </c>
      <c r="J100" s="11" t="s">
        <v>531</v>
      </c>
      <c r="K100" s="11" t="s">
        <v>211</v>
      </c>
      <c r="L100" s="11" t="s">
        <v>142</v>
      </c>
      <c r="M100" s="11" t="n">
        <v>0</v>
      </c>
      <c r="N100" s="11" t="n">
        <v>116</v>
      </c>
      <c r="O100" s="11" t="s">
        <v>367</v>
      </c>
      <c r="P100" s="11" t="s">
        <v>403</v>
      </c>
      <c r="Q100" s="11" t="s">
        <v>481</v>
      </c>
      <c r="R100" s="11" t="s">
        <v>422</v>
      </c>
      <c r="S100" s="14" t="n">
        <v>0.00998842592592593</v>
      </c>
      <c r="T100" s="11" t="s">
        <v>532</v>
      </c>
    </row>
    <row r="101" customFormat="false" ht="15" hidden="false" customHeight="true" outlineLevel="0" collapsed="false">
      <c r="A101" s="11" t="s">
        <v>114</v>
      </c>
      <c r="B101" s="12" t="s">
        <v>106</v>
      </c>
      <c r="C101" s="11" t="s">
        <v>99</v>
      </c>
      <c r="D101" s="11" t="s">
        <v>295</v>
      </c>
      <c r="E101" s="11"/>
      <c r="F101" s="14" t="n">
        <v>0.00387962962962963</v>
      </c>
      <c r="G101" s="14" t="n">
        <v>0.1528125</v>
      </c>
      <c r="H101" s="13" t="n">
        <v>0.34</v>
      </c>
      <c r="I101" s="13" t="n">
        <v>0.21</v>
      </c>
      <c r="J101" s="11" t="s">
        <v>533</v>
      </c>
      <c r="K101" s="11" t="s">
        <v>496</v>
      </c>
      <c r="L101" s="11" t="s">
        <v>210</v>
      </c>
      <c r="M101" s="11" t="n">
        <v>0</v>
      </c>
      <c r="N101" s="11" t="n">
        <v>29</v>
      </c>
      <c r="O101" s="11" t="s">
        <v>373</v>
      </c>
      <c r="P101" s="11" t="s">
        <v>403</v>
      </c>
      <c r="Q101" s="11" t="s">
        <v>232</v>
      </c>
      <c r="R101" s="11" t="s">
        <v>534</v>
      </c>
      <c r="S101" s="14" t="n">
        <v>0.00387731481481482</v>
      </c>
      <c r="T101" s="11" t="s">
        <v>499</v>
      </c>
    </row>
    <row r="102" customFormat="false" ht="15" hidden="false" customHeight="true" outlineLevel="0" collapsed="false">
      <c r="A102" s="21" t="s">
        <v>114</v>
      </c>
      <c r="B102" s="22" t="s">
        <v>106</v>
      </c>
      <c r="C102" s="21" t="s">
        <v>99</v>
      </c>
      <c r="D102" s="21" t="s">
        <v>382</v>
      </c>
      <c r="E102" s="21"/>
      <c r="F102" s="23" t="n">
        <v>0.1528125</v>
      </c>
      <c r="G102" s="23" t="n">
        <v>0.1528125</v>
      </c>
      <c r="H102" s="24" t="n">
        <v>14.32</v>
      </c>
      <c r="I102" s="24" t="n">
        <v>8.9</v>
      </c>
      <c r="J102" s="21" t="s">
        <v>535</v>
      </c>
      <c r="K102" s="21" t="s">
        <v>254</v>
      </c>
      <c r="L102" s="21" t="s">
        <v>172</v>
      </c>
      <c r="M102" s="21" t="n">
        <v>573</v>
      </c>
      <c r="N102" s="21" t="n">
        <v>566</v>
      </c>
      <c r="O102" s="21" t="s">
        <v>460</v>
      </c>
      <c r="P102" s="21" t="s">
        <v>361</v>
      </c>
      <c r="Q102" s="21" t="s">
        <v>536</v>
      </c>
      <c r="R102" s="21" t="s">
        <v>517</v>
      </c>
      <c r="S102" s="23" t="n">
        <v>0.146527777777778</v>
      </c>
      <c r="T102" s="21" t="s">
        <v>537</v>
      </c>
    </row>
    <row r="103" customFormat="false" ht="15" hidden="false" customHeight="true" outlineLevel="0" collapsed="false">
      <c r="A103" s="11" t="s">
        <v>119</v>
      </c>
      <c r="B103" s="12" t="s">
        <v>121</v>
      </c>
      <c r="C103" s="11" t="s">
        <v>99</v>
      </c>
      <c r="D103" s="11" t="s">
        <v>140</v>
      </c>
      <c r="E103" s="11"/>
      <c r="F103" s="14" t="n">
        <v>0.0399421296296296</v>
      </c>
      <c r="G103" s="14" t="n">
        <v>0.0399421296296296</v>
      </c>
      <c r="H103" s="13" t="n">
        <v>1</v>
      </c>
      <c r="I103" s="13" t="n">
        <v>0.62</v>
      </c>
      <c r="J103" s="11" t="s">
        <v>141</v>
      </c>
      <c r="K103" s="11" t="s">
        <v>152</v>
      </c>
      <c r="L103" s="11" t="s">
        <v>538</v>
      </c>
      <c r="M103" s="11" t="n">
        <v>236</v>
      </c>
      <c r="N103" s="11" t="n">
        <v>5</v>
      </c>
      <c r="O103" s="11" t="s">
        <v>218</v>
      </c>
      <c r="P103" s="11" t="s">
        <v>224</v>
      </c>
      <c r="Q103" s="11" t="s">
        <v>539</v>
      </c>
      <c r="R103" s="11" t="s">
        <v>261</v>
      </c>
      <c r="S103" s="14" t="n">
        <v>0.0059375</v>
      </c>
      <c r="T103" s="11" t="s">
        <v>540</v>
      </c>
    </row>
    <row r="104" customFormat="false" ht="15" hidden="false" customHeight="true" outlineLevel="0" collapsed="false">
      <c r="A104" s="11" t="s">
        <v>119</v>
      </c>
      <c r="B104" s="12" t="s">
        <v>121</v>
      </c>
      <c r="C104" s="11" t="s">
        <v>99</v>
      </c>
      <c r="D104" s="11" t="s">
        <v>148</v>
      </c>
      <c r="E104" s="11"/>
      <c r="F104" s="14" t="n">
        <v>0.0474305555555556</v>
      </c>
      <c r="G104" s="14" t="n">
        <v>0.0873611111111111</v>
      </c>
      <c r="H104" s="13" t="n">
        <v>1</v>
      </c>
      <c r="I104" s="13" t="n">
        <v>0.62</v>
      </c>
      <c r="J104" s="11" t="s">
        <v>141</v>
      </c>
      <c r="K104" s="11" t="s">
        <v>217</v>
      </c>
      <c r="L104" s="11" t="s">
        <v>541</v>
      </c>
      <c r="M104" s="11" t="n">
        <v>155</v>
      </c>
      <c r="N104" s="11" t="n">
        <v>32</v>
      </c>
      <c r="O104" s="11" t="s">
        <v>160</v>
      </c>
      <c r="P104" s="11" t="s">
        <v>240</v>
      </c>
      <c r="Q104" s="11" t="s">
        <v>542</v>
      </c>
      <c r="R104" s="11" t="s">
        <v>261</v>
      </c>
      <c r="S104" s="14" t="n">
        <v>0.0107638888888889</v>
      </c>
      <c r="T104" s="11" t="s">
        <v>543</v>
      </c>
    </row>
    <row r="105" customFormat="false" ht="15" hidden="false" customHeight="true" outlineLevel="0" collapsed="false">
      <c r="A105" s="11" t="s">
        <v>119</v>
      </c>
      <c r="B105" s="12" t="s">
        <v>121</v>
      </c>
      <c r="C105" s="11" t="s">
        <v>99</v>
      </c>
      <c r="D105" s="11" t="s">
        <v>151</v>
      </c>
      <c r="E105" s="11"/>
      <c r="F105" s="14" t="n">
        <v>0.0178472222222222</v>
      </c>
      <c r="G105" s="14" t="n">
        <v>0.105208333333333</v>
      </c>
      <c r="H105" s="13" t="n">
        <v>1</v>
      </c>
      <c r="I105" s="13" t="n">
        <v>0.62</v>
      </c>
      <c r="J105" s="11" t="s">
        <v>544</v>
      </c>
      <c r="K105" s="11" t="s">
        <v>231</v>
      </c>
      <c r="L105" s="11" t="s">
        <v>545</v>
      </c>
      <c r="M105" s="11" t="n">
        <v>61</v>
      </c>
      <c r="N105" s="11" t="n">
        <v>51</v>
      </c>
      <c r="O105" s="11" t="s">
        <v>259</v>
      </c>
      <c r="P105" s="11" t="s">
        <v>309</v>
      </c>
      <c r="Q105" s="11" t="s">
        <v>206</v>
      </c>
      <c r="R105" s="11" t="s">
        <v>546</v>
      </c>
      <c r="S105" s="14" t="n">
        <v>0.0110532407407407</v>
      </c>
      <c r="T105" s="11" t="s">
        <v>547</v>
      </c>
    </row>
    <row r="106" customFormat="false" ht="15" hidden="false" customHeight="true" outlineLevel="0" collapsed="false">
      <c r="A106" s="11" t="s">
        <v>119</v>
      </c>
      <c r="B106" s="12" t="s">
        <v>121</v>
      </c>
      <c r="C106" s="11" t="s">
        <v>99</v>
      </c>
      <c r="D106" s="11" t="s">
        <v>156</v>
      </c>
      <c r="E106" s="11"/>
      <c r="F106" s="14" t="n">
        <v>0.0358217592592593</v>
      </c>
      <c r="G106" s="14" t="n">
        <v>0.141030092592593</v>
      </c>
      <c r="H106" s="13" t="n">
        <v>1</v>
      </c>
      <c r="I106" s="13" t="n">
        <v>0.62</v>
      </c>
      <c r="J106" s="11" t="s">
        <v>141</v>
      </c>
      <c r="K106" s="11" t="s">
        <v>230</v>
      </c>
      <c r="L106" s="11" t="s">
        <v>166</v>
      </c>
      <c r="M106" s="11" t="n">
        <v>34</v>
      </c>
      <c r="N106" s="11" t="n">
        <v>27</v>
      </c>
      <c r="O106" s="11" t="s">
        <v>196</v>
      </c>
      <c r="P106" s="11" t="s">
        <v>160</v>
      </c>
      <c r="Q106" s="11" t="s">
        <v>548</v>
      </c>
      <c r="R106" s="11" t="s">
        <v>549</v>
      </c>
      <c r="S106" s="14" t="n">
        <v>0.0105787037037037</v>
      </c>
      <c r="T106" s="11" t="s">
        <v>550</v>
      </c>
    </row>
    <row r="107" customFormat="false" ht="15" hidden="false" customHeight="true" outlineLevel="0" collapsed="false">
      <c r="A107" s="11" t="s">
        <v>119</v>
      </c>
      <c r="B107" s="12" t="s">
        <v>121</v>
      </c>
      <c r="C107" s="11" t="s">
        <v>99</v>
      </c>
      <c r="D107" s="11" t="s">
        <v>189</v>
      </c>
      <c r="E107" s="11"/>
      <c r="F107" s="14" t="n">
        <v>0.0178703703703704</v>
      </c>
      <c r="G107" s="14" t="n">
        <v>0.158900462962963</v>
      </c>
      <c r="H107" s="13" t="n">
        <v>1</v>
      </c>
      <c r="I107" s="13" t="n">
        <v>0.62</v>
      </c>
      <c r="J107" s="11" t="s">
        <v>544</v>
      </c>
      <c r="K107" s="11" t="s">
        <v>280</v>
      </c>
      <c r="L107" s="11" t="s">
        <v>172</v>
      </c>
      <c r="M107" s="11" t="n">
        <v>27</v>
      </c>
      <c r="N107" s="11" t="n">
        <v>19</v>
      </c>
      <c r="O107" s="11" t="s">
        <v>551</v>
      </c>
      <c r="P107" s="11" t="s">
        <v>551</v>
      </c>
      <c r="Q107" s="11" t="s">
        <v>212</v>
      </c>
      <c r="R107" s="11" t="s">
        <v>215</v>
      </c>
      <c r="S107" s="14" t="n">
        <v>0.0100231481481482</v>
      </c>
      <c r="T107" s="11" t="s">
        <v>479</v>
      </c>
    </row>
    <row r="108" customFormat="false" ht="15" hidden="false" customHeight="true" outlineLevel="0" collapsed="false">
      <c r="A108" s="11" t="s">
        <v>119</v>
      </c>
      <c r="B108" s="12" t="s">
        <v>121</v>
      </c>
      <c r="C108" s="11" t="s">
        <v>99</v>
      </c>
      <c r="D108" s="11" t="s">
        <v>298</v>
      </c>
      <c r="E108" s="11"/>
      <c r="F108" s="14" t="n">
        <v>0.0203819444444445</v>
      </c>
      <c r="G108" s="14" t="n">
        <v>0.179282407407407</v>
      </c>
      <c r="H108" s="13" t="n">
        <v>1</v>
      </c>
      <c r="I108" s="13" t="n">
        <v>0.62</v>
      </c>
      <c r="J108" s="11" t="s">
        <v>552</v>
      </c>
      <c r="K108" s="11" t="s">
        <v>345</v>
      </c>
      <c r="L108" s="11" t="s">
        <v>166</v>
      </c>
      <c r="M108" s="11" t="n">
        <v>34</v>
      </c>
      <c r="N108" s="11" t="n">
        <v>139</v>
      </c>
      <c r="O108" s="11" t="s">
        <v>291</v>
      </c>
      <c r="P108" s="11" t="s">
        <v>259</v>
      </c>
      <c r="Q108" s="11" t="s">
        <v>223</v>
      </c>
      <c r="R108" s="11" t="s">
        <v>422</v>
      </c>
      <c r="S108" s="14" t="n">
        <v>0.0122106481481482</v>
      </c>
      <c r="T108" s="11" t="s">
        <v>553</v>
      </c>
    </row>
    <row r="109" customFormat="false" ht="15" hidden="false" customHeight="true" outlineLevel="0" collapsed="false">
      <c r="A109" s="11" t="s">
        <v>119</v>
      </c>
      <c r="B109" s="12" t="s">
        <v>121</v>
      </c>
      <c r="C109" s="11" t="s">
        <v>99</v>
      </c>
      <c r="D109" s="11" t="s">
        <v>144</v>
      </c>
      <c r="E109" s="11"/>
      <c r="F109" s="14" t="n">
        <v>0.0404976851851852</v>
      </c>
      <c r="G109" s="14" t="n">
        <v>0.219780092592593</v>
      </c>
      <c r="H109" s="13" t="n">
        <v>1</v>
      </c>
      <c r="I109" s="13" t="n">
        <v>0.62</v>
      </c>
      <c r="J109" s="11" t="s">
        <v>141</v>
      </c>
      <c r="K109" s="11" t="s">
        <v>211</v>
      </c>
      <c r="L109" s="11" t="s">
        <v>554</v>
      </c>
      <c r="M109" s="11" t="n">
        <v>0</v>
      </c>
      <c r="N109" s="11" t="n">
        <v>280</v>
      </c>
      <c r="O109" s="11" t="s">
        <v>189</v>
      </c>
      <c r="P109" s="11" t="s">
        <v>324</v>
      </c>
      <c r="Q109" s="11" t="s">
        <v>555</v>
      </c>
      <c r="R109" s="11" t="s">
        <v>354</v>
      </c>
      <c r="S109" s="14" t="n">
        <v>0.00539351851851852</v>
      </c>
      <c r="T109" s="11" t="s">
        <v>556</v>
      </c>
    </row>
    <row r="110" customFormat="false" ht="15" hidden="false" customHeight="true" outlineLevel="0" collapsed="false">
      <c r="A110" s="11" t="s">
        <v>119</v>
      </c>
      <c r="B110" s="12" t="s">
        <v>121</v>
      </c>
      <c r="C110" s="11" t="s">
        <v>99</v>
      </c>
      <c r="D110" s="11" t="s">
        <v>213</v>
      </c>
      <c r="E110" s="11"/>
      <c r="F110" s="14" t="n">
        <v>0.0314351851851852</v>
      </c>
      <c r="G110" s="14" t="n">
        <v>0.251215277777778</v>
      </c>
      <c r="H110" s="13" t="n">
        <v>1</v>
      </c>
      <c r="I110" s="13" t="n">
        <v>0.62</v>
      </c>
      <c r="J110" s="11" t="s">
        <v>141</v>
      </c>
      <c r="K110" s="11" t="s">
        <v>211</v>
      </c>
      <c r="L110" s="11" t="s">
        <v>326</v>
      </c>
      <c r="M110" s="11" t="n">
        <v>1</v>
      </c>
      <c r="N110" s="11" t="n">
        <v>209</v>
      </c>
      <c r="O110" s="11" t="s">
        <v>352</v>
      </c>
      <c r="P110" s="11" t="s">
        <v>557</v>
      </c>
      <c r="Q110" s="11" t="s">
        <v>558</v>
      </c>
      <c r="R110" s="11" t="s">
        <v>559</v>
      </c>
      <c r="S110" s="14" t="n">
        <v>0.0121412037037037</v>
      </c>
      <c r="T110" s="11" t="s">
        <v>560</v>
      </c>
    </row>
    <row r="111" customFormat="false" ht="15" hidden="false" customHeight="true" outlineLevel="0" collapsed="false">
      <c r="A111" s="11" t="s">
        <v>119</v>
      </c>
      <c r="B111" s="12" t="s">
        <v>121</v>
      </c>
      <c r="C111" s="11" t="s">
        <v>99</v>
      </c>
      <c r="D111" s="11" t="s">
        <v>300</v>
      </c>
      <c r="E111" s="11"/>
      <c r="F111" s="14" t="n">
        <v>0.00271759259259259</v>
      </c>
      <c r="G111" s="14" t="n">
        <v>0.253935185185185</v>
      </c>
      <c r="H111" s="13" t="n">
        <v>0.13</v>
      </c>
      <c r="I111" s="13" t="n">
        <v>0.08</v>
      </c>
      <c r="J111" s="11" t="s">
        <v>561</v>
      </c>
      <c r="K111" s="11" t="s">
        <v>211</v>
      </c>
      <c r="L111" s="11" t="s">
        <v>158</v>
      </c>
      <c r="M111" s="11" t="n">
        <v>1</v>
      </c>
      <c r="N111" s="11" t="n">
        <v>7</v>
      </c>
      <c r="O111" s="11" t="s">
        <v>196</v>
      </c>
      <c r="P111" s="11" t="s">
        <v>277</v>
      </c>
      <c r="Q111" s="11" t="s">
        <v>332</v>
      </c>
      <c r="R111" s="11" t="s">
        <v>562</v>
      </c>
      <c r="S111" s="14" t="n">
        <v>0.00131944444444444</v>
      </c>
      <c r="T111" s="11" t="s">
        <v>563</v>
      </c>
    </row>
    <row r="112" customFormat="false" ht="15" hidden="false" customHeight="true" outlineLevel="0" collapsed="false">
      <c r="A112" s="21" t="s">
        <v>119</v>
      </c>
      <c r="B112" s="22" t="s">
        <v>121</v>
      </c>
      <c r="C112" s="21" t="s">
        <v>99</v>
      </c>
      <c r="D112" s="21" t="s">
        <v>382</v>
      </c>
      <c r="E112" s="21"/>
      <c r="F112" s="23" t="n">
        <v>0.253935185185185</v>
      </c>
      <c r="G112" s="23" t="n">
        <v>0.253935185185185</v>
      </c>
      <c r="H112" s="24" t="n">
        <v>8.13</v>
      </c>
      <c r="I112" s="24" t="n">
        <v>5.05</v>
      </c>
      <c r="J112" s="21" t="s">
        <v>141</v>
      </c>
      <c r="K112" s="21" t="s">
        <v>334</v>
      </c>
      <c r="L112" s="21" t="s">
        <v>538</v>
      </c>
      <c r="M112" s="21" t="n">
        <v>549</v>
      </c>
      <c r="N112" s="21" t="n">
        <v>768</v>
      </c>
      <c r="O112" s="21" t="s">
        <v>272</v>
      </c>
      <c r="P112" s="21" t="s">
        <v>294</v>
      </c>
      <c r="Q112" s="21" t="s">
        <v>564</v>
      </c>
      <c r="R112" s="21" t="s">
        <v>549</v>
      </c>
      <c r="S112" s="23" t="n">
        <v>0.0794212962962963</v>
      </c>
      <c r="T112" s="21" t="s">
        <v>565</v>
      </c>
    </row>
    <row r="113" customFormat="false" ht="15" hidden="false" customHeight="true" outlineLevel="0" collapsed="false">
      <c r="A113" s="5" t="s">
        <v>124</v>
      </c>
      <c r="B113" s="6" t="s">
        <v>126</v>
      </c>
      <c r="C113" s="5" t="s">
        <v>35</v>
      </c>
      <c r="D113" s="5" t="s">
        <v>140</v>
      </c>
      <c r="E113" s="5"/>
      <c r="F113" s="8" t="n">
        <v>0.2365625</v>
      </c>
      <c r="G113" s="8" t="n">
        <v>0.2365625</v>
      </c>
      <c r="H113" s="7" t="n">
        <v>5.92</v>
      </c>
      <c r="I113" s="7" t="n">
        <v>3.68</v>
      </c>
      <c r="J113" s="5" t="s">
        <v>141</v>
      </c>
      <c r="K113" s="5" t="s">
        <v>142</v>
      </c>
      <c r="L113" s="5" t="s">
        <v>566</v>
      </c>
      <c r="M113" s="5" t="n">
        <v>1026</v>
      </c>
      <c r="N113" s="5" t="n">
        <v>15</v>
      </c>
      <c r="O113" s="5"/>
      <c r="P113" s="5" t="s">
        <v>295</v>
      </c>
      <c r="Q113" s="5" t="s">
        <v>567</v>
      </c>
      <c r="R113" s="5" t="s">
        <v>179</v>
      </c>
      <c r="S113" s="8" t="n">
        <v>0.0231134259259259</v>
      </c>
      <c r="T113" s="5" t="s">
        <v>568</v>
      </c>
    </row>
    <row r="114" customFormat="false" ht="15" hidden="false" customHeight="true" outlineLevel="0" collapsed="false">
      <c r="A114" s="5" t="s">
        <v>128</v>
      </c>
      <c r="B114" s="6" t="s">
        <v>126</v>
      </c>
      <c r="C114" s="5" t="s">
        <v>35</v>
      </c>
      <c r="D114" s="5" t="s">
        <v>140</v>
      </c>
      <c r="E114" s="5"/>
      <c r="F114" s="8" t="n">
        <v>0.13875</v>
      </c>
      <c r="G114" s="8" t="n">
        <v>0.13875</v>
      </c>
      <c r="H114" s="7" t="n">
        <v>4.8</v>
      </c>
      <c r="I114" s="7" t="n">
        <v>2.98</v>
      </c>
      <c r="J114" s="5" t="s">
        <v>141</v>
      </c>
      <c r="K114" s="5" t="s">
        <v>200</v>
      </c>
      <c r="L114" s="5" t="s">
        <v>212</v>
      </c>
      <c r="M114" s="5" t="n">
        <v>12</v>
      </c>
      <c r="N114" s="5" t="n">
        <v>1050</v>
      </c>
      <c r="O114" s="5"/>
      <c r="P114" s="5" t="s">
        <v>218</v>
      </c>
      <c r="Q114" s="5" t="s">
        <v>569</v>
      </c>
      <c r="R114" s="5" t="s">
        <v>570</v>
      </c>
      <c r="S114" s="8" t="n">
        <v>0.0371643518518519</v>
      </c>
      <c r="T114" s="5" t="s">
        <v>571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4" topLeftCell="D5" activePane="bottomRight" state="frozen"/>
      <selection pane="topLeft" activeCell="A1" activeCellId="0" sqref="A1"/>
      <selection pane="topRight" activeCell="D1" activeCellId="0" sqref="D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26"/>
    <col collapsed="false" customWidth="true" hidden="false" outlineLevel="0" max="3" min="3" style="1" width="13"/>
    <col collapsed="false" customWidth="true" hidden="false" outlineLevel="0" max="4" min="4" style="1" width="11"/>
    <col collapsed="false" customWidth="true" hidden="false" outlineLevel="0" max="5" min="5" style="1" width="10"/>
    <col collapsed="false" customWidth="true" hidden="false" outlineLevel="0" max="6" min="6" style="1" width="7"/>
    <col collapsed="false" customWidth="true" hidden="false" outlineLevel="0" max="7" min="7" style="1" width="11"/>
    <col collapsed="false" customWidth="true" hidden="false" outlineLevel="0" max="8" min="8" style="1" width="10"/>
    <col collapsed="false" customWidth="true" hidden="false" outlineLevel="0" max="9" min="9" style="1" width="7"/>
    <col collapsed="false" customWidth="true" hidden="false" outlineLevel="0" max="10" min="10" style="1" width="11"/>
    <col collapsed="false" customWidth="true" hidden="false" outlineLevel="0" max="11" min="11" style="1" width="10"/>
    <col collapsed="false" customWidth="true" hidden="false" outlineLevel="0" max="12" min="12" style="1" width="7"/>
    <col collapsed="false" customWidth="true" hidden="false" outlineLevel="0" max="13" min="13" style="1" width="11"/>
    <col collapsed="false" customWidth="true" hidden="false" outlineLevel="0" max="14" min="14" style="1" width="10"/>
    <col collapsed="false" customWidth="true" hidden="false" outlineLevel="0" max="15" min="15" style="1" width="7"/>
    <col collapsed="false" customWidth="true" hidden="false" outlineLevel="0" max="16" min="16" style="1" width="11"/>
    <col collapsed="false" customWidth="true" hidden="false" outlineLevel="0" max="17" min="17" style="1" width="10"/>
    <col collapsed="false" customWidth="true" hidden="false" outlineLevel="0" max="18" min="18" style="1" width="7"/>
  </cols>
  <sheetData>
    <row r="1" customFormat="false" ht="17.25" hidden="false" customHeight="true" outlineLevel="0" collapsed="false">
      <c r="A1" s="2" t="s">
        <v>572</v>
      </c>
    </row>
    <row r="2" customFormat="false" ht="15" hidden="false" customHeight="true" outlineLevel="0" collapsed="false">
      <c r="A2" s="3" t="s">
        <v>573</v>
      </c>
    </row>
    <row r="4" customFormat="false" ht="31.5" hidden="false" customHeight="true" outlineLevel="0" collapsed="false">
      <c r="A4" s="4" t="s">
        <v>3</v>
      </c>
      <c r="B4" s="4" t="s">
        <v>5</v>
      </c>
      <c r="C4" s="4" t="s">
        <v>6</v>
      </c>
      <c r="D4" s="4" t="s">
        <v>574</v>
      </c>
      <c r="E4" s="4" t="s">
        <v>575</v>
      </c>
      <c r="F4" s="4" t="s">
        <v>576</v>
      </c>
      <c r="G4" s="4" t="s">
        <v>577</v>
      </c>
      <c r="H4" s="4" t="s">
        <v>578</v>
      </c>
      <c r="I4" s="4" t="s">
        <v>579</v>
      </c>
      <c r="J4" s="4" t="s">
        <v>580</v>
      </c>
      <c r="K4" s="4" t="s">
        <v>581</v>
      </c>
      <c r="L4" s="4" t="s">
        <v>582</v>
      </c>
      <c r="M4" s="4" t="s">
        <v>583</v>
      </c>
      <c r="N4" s="4" t="s">
        <v>584</v>
      </c>
      <c r="O4" s="4" t="s">
        <v>585</v>
      </c>
      <c r="P4" s="4" t="s">
        <v>586</v>
      </c>
      <c r="Q4" s="4" t="s">
        <v>587</v>
      </c>
      <c r="R4" s="4" t="s">
        <v>588</v>
      </c>
    </row>
    <row r="5" customFormat="false" ht="15" hidden="false" customHeight="true" outlineLevel="0" collapsed="false">
      <c r="A5" s="5" t="s">
        <v>32</v>
      </c>
      <c r="B5" s="6" t="s">
        <v>34</v>
      </c>
      <c r="C5" s="5" t="s">
        <v>35</v>
      </c>
      <c r="D5" s="5" t="s">
        <v>589</v>
      </c>
      <c r="E5" s="8" t="n">
        <v>0.000810185185185185</v>
      </c>
      <c r="F5" s="25" t="n">
        <v>0</v>
      </c>
      <c r="G5" s="5" t="s">
        <v>590</v>
      </c>
      <c r="H5" s="8" t="n">
        <v>0.0431828703703704</v>
      </c>
      <c r="I5" s="25" t="n">
        <v>0.17</v>
      </c>
      <c r="J5" s="5" t="s">
        <v>591</v>
      </c>
      <c r="K5" s="8" t="n">
        <v>0.156909722222222</v>
      </c>
      <c r="L5" s="25" t="n">
        <v>0.63</v>
      </c>
      <c r="M5" s="5" t="s">
        <v>592</v>
      </c>
      <c r="N5" s="8" t="n">
        <v>0.0430439814814815</v>
      </c>
      <c r="O5" s="25" t="n">
        <v>0.17</v>
      </c>
      <c r="P5" s="5" t="s">
        <v>593</v>
      </c>
      <c r="Q5" s="8" t="n">
        <v>0.00412037037037037</v>
      </c>
      <c r="R5" s="25" t="n">
        <v>0.01</v>
      </c>
    </row>
    <row r="6" customFormat="false" ht="15" hidden="false" customHeight="true" outlineLevel="0" collapsed="false">
      <c r="A6" s="5" t="s">
        <v>39</v>
      </c>
      <c r="B6" s="6" t="s">
        <v>34</v>
      </c>
      <c r="C6" s="5" t="s">
        <v>35</v>
      </c>
      <c r="D6" s="5" t="s">
        <v>589</v>
      </c>
      <c r="E6" s="8" t="n">
        <v>0</v>
      </c>
      <c r="F6" s="25" t="n">
        <v>0</v>
      </c>
      <c r="G6" s="5" t="s">
        <v>590</v>
      </c>
      <c r="H6" s="8" t="n">
        <v>0.0692708333333333</v>
      </c>
      <c r="I6" s="25" t="n">
        <v>0.17</v>
      </c>
      <c r="J6" s="5" t="s">
        <v>591</v>
      </c>
      <c r="K6" s="8" t="n">
        <v>0.21087962962963</v>
      </c>
      <c r="L6" s="25" t="n">
        <v>0.53</v>
      </c>
      <c r="M6" s="5" t="s">
        <v>592</v>
      </c>
      <c r="N6" s="8" t="n">
        <v>0.1021875</v>
      </c>
      <c r="O6" s="25" t="n">
        <v>0.25</v>
      </c>
      <c r="P6" s="5" t="s">
        <v>593</v>
      </c>
      <c r="Q6" s="8" t="n">
        <v>0.014212962962963</v>
      </c>
      <c r="R6" s="25" t="n">
        <v>0.03</v>
      </c>
    </row>
    <row r="7" customFormat="false" ht="15" hidden="false" customHeight="true" outlineLevel="0" collapsed="false">
      <c r="A7" s="5" t="s">
        <v>42</v>
      </c>
      <c r="B7" s="6" t="s">
        <v>44</v>
      </c>
      <c r="C7" s="5" t="s">
        <v>35</v>
      </c>
      <c r="D7" s="5" t="s">
        <v>594</v>
      </c>
      <c r="E7" s="8" t="s">
        <v>594</v>
      </c>
      <c r="F7" s="25" t="s">
        <v>594</v>
      </c>
      <c r="G7" s="5" t="s">
        <v>594</v>
      </c>
      <c r="H7" s="8" t="s">
        <v>594</v>
      </c>
      <c r="I7" s="25" t="s">
        <v>594</v>
      </c>
      <c r="J7" s="5" t="s">
        <v>594</v>
      </c>
      <c r="K7" s="8" t="s">
        <v>594</v>
      </c>
      <c r="L7" s="25" t="s">
        <v>594</v>
      </c>
      <c r="M7" s="5" t="s">
        <v>594</v>
      </c>
      <c r="N7" s="8" t="s">
        <v>594</v>
      </c>
      <c r="O7" s="25" t="s">
        <v>594</v>
      </c>
      <c r="P7" s="5" t="s">
        <v>594</v>
      </c>
      <c r="Q7" s="8" t="s">
        <v>594</v>
      </c>
      <c r="R7" s="25" t="s">
        <v>594</v>
      </c>
    </row>
    <row r="8" customFormat="false" ht="15" hidden="false" customHeight="true" outlineLevel="0" collapsed="false">
      <c r="A8" s="5" t="s">
        <v>42</v>
      </c>
      <c r="B8" s="6" t="s">
        <v>44</v>
      </c>
      <c r="C8" s="5" t="s">
        <v>35</v>
      </c>
      <c r="D8" s="5" t="s">
        <v>589</v>
      </c>
      <c r="E8" s="8" t="n">
        <v>0</v>
      </c>
      <c r="F8" s="25" t="n">
        <v>0</v>
      </c>
      <c r="G8" s="5" t="s">
        <v>590</v>
      </c>
      <c r="H8" s="8" t="n">
        <v>3.47222222222222E-005</v>
      </c>
      <c r="I8" s="25" t="n">
        <v>0</v>
      </c>
      <c r="J8" s="5" t="s">
        <v>591</v>
      </c>
      <c r="K8" s="8" t="n">
        <v>0.138483796296296</v>
      </c>
      <c r="L8" s="25" t="n">
        <v>0.91</v>
      </c>
      <c r="M8" s="5" t="s">
        <v>592</v>
      </c>
      <c r="N8" s="8" t="n">
        <v>0.0125578703703704</v>
      </c>
      <c r="O8" s="25" t="n">
        <v>0.08</v>
      </c>
      <c r="P8" s="5" t="s">
        <v>593</v>
      </c>
      <c r="Q8" s="8" t="n">
        <v>0</v>
      </c>
      <c r="R8" s="25" t="n">
        <v>0</v>
      </c>
    </row>
    <row r="9" customFormat="false" ht="15" hidden="false" customHeight="true" outlineLevel="0" collapsed="false">
      <c r="A9" s="5" t="s">
        <v>42</v>
      </c>
      <c r="B9" s="6" t="s">
        <v>34</v>
      </c>
      <c r="C9" s="5" t="s">
        <v>35</v>
      </c>
      <c r="D9" s="5" t="s">
        <v>589</v>
      </c>
      <c r="E9" s="8" t="n">
        <v>0</v>
      </c>
      <c r="F9" s="25" t="n">
        <v>0</v>
      </c>
      <c r="G9" s="5" t="s">
        <v>590</v>
      </c>
      <c r="H9" s="8" t="n">
        <v>0.00172453703703704</v>
      </c>
      <c r="I9" s="25" t="n">
        <v>0.02</v>
      </c>
      <c r="J9" s="5" t="s">
        <v>591</v>
      </c>
      <c r="K9" s="8" t="n">
        <v>0.0555555555555556</v>
      </c>
      <c r="L9" s="25" t="n">
        <v>0.66</v>
      </c>
      <c r="M9" s="5" t="s">
        <v>592</v>
      </c>
      <c r="N9" s="8" t="n">
        <v>0.0261111111111111</v>
      </c>
      <c r="O9" s="25" t="n">
        <v>0.31</v>
      </c>
      <c r="P9" s="5" t="s">
        <v>593</v>
      </c>
      <c r="Q9" s="8" t="n">
        <v>0.000474537037037037</v>
      </c>
      <c r="R9" s="25" t="n">
        <v>0</v>
      </c>
    </row>
    <row r="10" customFormat="false" ht="15" hidden="false" customHeight="true" outlineLevel="0" collapsed="false">
      <c r="A10" s="5" t="s">
        <v>52</v>
      </c>
      <c r="B10" s="6" t="s">
        <v>54</v>
      </c>
      <c r="C10" s="5" t="s">
        <v>35</v>
      </c>
      <c r="D10" s="5" t="s">
        <v>589</v>
      </c>
      <c r="E10" s="8" t="n">
        <v>0</v>
      </c>
      <c r="F10" s="25" t="n">
        <v>0</v>
      </c>
      <c r="G10" s="5" t="s">
        <v>590</v>
      </c>
      <c r="H10" s="8" t="n">
        <v>0</v>
      </c>
      <c r="I10" s="25" t="n">
        <v>0</v>
      </c>
      <c r="J10" s="5" t="s">
        <v>591</v>
      </c>
      <c r="K10" s="8" t="n">
        <v>0.00314814814814815</v>
      </c>
      <c r="L10" s="25" t="n">
        <v>0.04</v>
      </c>
      <c r="M10" s="5" t="s">
        <v>592</v>
      </c>
      <c r="N10" s="8" t="n">
        <v>0.0318402777777778</v>
      </c>
      <c r="O10" s="25" t="n">
        <v>0.44</v>
      </c>
      <c r="P10" s="5" t="s">
        <v>593</v>
      </c>
      <c r="Q10" s="8" t="n">
        <v>0.0346296296296296</v>
      </c>
      <c r="R10" s="25" t="n">
        <v>0.48</v>
      </c>
    </row>
    <row r="11" customFormat="false" ht="15" hidden="false" customHeight="true" outlineLevel="0" collapsed="false">
      <c r="A11" s="5" t="s">
        <v>57</v>
      </c>
      <c r="B11" s="6" t="s">
        <v>59</v>
      </c>
      <c r="C11" s="5" t="s">
        <v>35</v>
      </c>
      <c r="D11" s="5" t="s">
        <v>589</v>
      </c>
      <c r="E11" s="8" t="n">
        <v>0</v>
      </c>
      <c r="F11" s="25" t="n">
        <v>0</v>
      </c>
      <c r="G11" s="5" t="s">
        <v>590</v>
      </c>
      <c r="H11" s="8" t="n">
        <v>0.00523148148148148</v>
      </c>
      <c r="I11" s="25" t="n">
        <v>0.02</v>
      </c>
      <c r="J11" s="5" t="s">
        <v>591</v>
      </c>
      <c r="K11" s="8" t="n">
        <v>0.060787037037037</v>
      </c>
      <c r="L11" s="25" t="n">
        <v>0.31</v>
      </c>
      <c r="M11" s="5" t="s">
        <v>592</v>
      </c>
      <c r="N11" s="8" t="n">
        <v>0.0878587962962963</v>
      </c>
      <c r="O11" s="25" t="n">
        <v>0.45</v>
      </c>
      <c r="P11" s="5" t="s">
        <v>593</v>
      </c>
      <c r="Q11" s="8" t="n">
        <v>0.0340046296296296</v>
      </c>
      <c r="R11" s="25" t="n">
        <v>0.17</v>
      </c>
    </row>
    <row r="12" customFormat="false" ht="15" hidden="false" customHeight="true" outlineLevel="0" collapsed="false">
      <c r="A12" s="5" t="s">
        <v>62</v>
      </c>
      <c r="B12" s="6" t="s">
        <v>64</v>
      </c>
      <c r="C12" s="5" t="s">
        <v>35</v>
      </c>
      <c r="D12" s="5" t="s">
        <v>595</v>
      </c>
      <c r="E12" s="8" t="n">
        <v>0</v>
      </c>
      <c r="F12" s="25" t="n">
        <v>0</v>
      </c>
      <c r="G12" s="5" t="s">
        <v>596</v>
      </c>
      <c r="H12" s="8" t="n">
        <v>0.00927083333333333</v>
      </c>
      <c r="I12" s="25" t="n">
        <v>0.03</v>
      </c>
      <c r="J12" s="5" t="s">
        <v>597</v>
      </c>
      <c r="K12" s="8" t="n">
        <v>0.146122685185185</v>
      </c>
      <c r="L12" s="25" t="n">
        <v>0.48</v>
      </c>
      <c r="M12" s="5" t="s">
        <v>598</v>
      </c>
      <c r="N12" s="8" t="n">
        <v>0.0787037037037037</v>
      </c>
      <c r="O12" s="25" t="n">
        <v>0.26</v>
      </c>
      <c r="P12" s="5" t="s">
        <v>599</v>
      </c>
      <c r="Q12" s="8" t="n">
        <v>0.0600578703703704</v>
      </c>
      <c r="R12" s="25" t="n">
        <v>0.2</v>
      </c>
    </row>
    <row r="13" customFormat="false" ht="15" hidden="false" customHeight="true" outlineLevel="0" collapsed="false">
      <c r="A13" s="5" t="s">
        <v>65</v>
      </c>
      <c r="B13" s="6" t="s">
        <v>64</v>
      </c>
      <c r="C13" s="5" t="s">
        <v>35</v>
      </c>
      <c r="D13" s="5" t="s">
        <v>595</v>
      </c>
      <c r="E13" s="8" t="n">
        <v>0</v>
      </c>
      <c r="F13" s="25" t="n">
        <v>0</v>
      </c>
      <c r="G13" s="5" t="s">
        <v>596</v>
      </c>
      <c r="H13" s="8" t="n">
        <v>2.31481481481482E-005</v>
      </c>
      <c r="I13" s="25" t="n">
        <v>0</v>
      </c>
      <c r="J13" s="5" t="s">
        <v>597</v>
      </c>
      <c r="K13" s="8" t="n">
        <v>0.101851851851852</v>
      </c>
      <c r="L13" s="25" t="n">
        <v>0.62</v>
      </c>
      <c r="M13" s="5" t="s">
        <v>598</v>
      </c>
      <c r="N13" s="8" t="n">
        <v>0.0341319444444444</v>
      </c>
      <c r="O13" s="25" t="n">
        <v>0.2</v>
      </c>
      <c r="P13" s="5" t="s">
        <v>599</v>
      </c>
      <c r="Q13" s="8" t="n">
        <v>0.0107175925925926</v>
      </c>
      <c r="R13" s="25" t="n">
        <v>0.06</v>
      </c>
    </row>
    <row r="14" customFormat="false" ht="15" hidden="false" customHeight="true" outlineLevel="0" collapsed="false">
      <c r="A14" s="5" t="s">
        <v>65</v>
      </c>
      <c r="B14" s="6" t="s">
        <v>64</v>
      </c>
      <c r="C14" s="5" t="s">
        <v>35</v>
      </c>
      <c r="D14" s="5" t="s">
        <v>595</v>
      </c>
      <c r="E14" s="8" t="n">
        <v>0</v>
      </c>
      <c r="F14" s="25" t="n">
        <v>0</v>
      </c>
      <c r="G14" s="5" t="s">
        <v>596</v>
      </c>
      <c r="H14" s="8" t="n">
        <v>0.00236111111111111</v>
      </c>
      <c r="I14" s="25" t="n">
        <v>0.01</v>
      </c>
      <c r="J14" s="5" t="s">
        <v>597</v>
      </c>
      <c r="K14" s="8" t="n">
        <v>0.0456018518518519</v>
      </c>
      <c r="L14" s="25" t="n">
        <v>0.38</v>
      </c>
      <c r="M14" s="5" t="s">
        <v>598</v>
      </c>
      <c r="N14" s="8" t="n">
        <v>0.0391782407407407</v>
      </c>
      <c r="O14" s="25" t="n">
        <v>0.32</v>
      </c>
      <c r="P14" s="5" t="s">
        <v>599</v>
      </c>
      <c r="Q14" s="8" t="n">
        <v>0.0320833333333333</v>
      </c>
      <c r="R14" s="25" t="n">
        <v>0.26</v>
      </c>
    </row>
    <row r="15" customFormat="false" ht="15" hidden="false" customHeight="true" outlineLevel="0" collapsed="false">
      <c r="A15" s="5" t="s">
        <v>65</v>
      </c>
      <c r="B15" s="6" t="s">
        <v>64</v>
      </c>
      <c r="C15" s="5" t="s">
        <v>35</v>
      </c>
      <c r="D15" s="5" t="s">
        <v>595</v>
      </c>
      <c r="E15" s="8" t="n">
        <v>0</v>
      </c>
      <c r="F15" s="25" t="n">
        <v>0</v>
      </c>
      <c r="G15" s="5" t="s">
        <v>596</v>
      </c>
      <c r="H15" s="8" t="n">
        <v>0</v>
      </c>
      <c r="I15" s="25" t="n">
        <v>0</v>
      </c>
      <c r="J15" s="5" t="s">
        <v>597</v>
      </c>
      <c r="K15" s="8" t="n">
        <v>0.0184490740740741</v>
      </c>
      <c r="L15" s="25" t="n">
        <v>0.43</v>
      </c>
      <c r="M15" s="5" t="s">
        <v>598</v>
      </c>
      <c r="N15" s="8" t="n">
        <v>0.0177314814814815</v>
      </c>
      <c r="O15" s="25" t="n">
        <v>0.41</v>
      </c>
      <c r="P15" s="5" t="s">
        <v>599</v>
      </c>
      <c r="Q15" s="8" t="n">
        <v>0.00612268518518519</v>
      </c>
      <c r="R15" s="25" t="n">
        <v>0.14</v>
      </c>
    </row>
    <row r="16" customFormat="false" ht="15" hidden="false" customHeight="true" outlineLevel="0" collapsed="false">
      <c r="A16" s="5" t="s">
        <v>73</v>
      </c>
      <c r="B16" s="6" t="s">
        <v>74</v>
      </c>
      <c r="C16" s="5" t="s">
        <v>35</v>
      </c>
      <c r="D16" s="5" t="s">
        <v>600</v>
      </c>
      <c r="E16" s="8" t="n">
        <v>0</v>
      </c>
      <c r="F16" s="25" t="n">
        <v>0</v>
      </c>
      <c r="G16" s="5" t="s">
        <v>601</v>
      </c>
      <c r="H16" s="8" t="n">
        <v>0.0171759259259259</v>
      </c>
      <c r="I16" s="25" t="n">
        <v>0.07</v>
      </c>
      <c r="J16" s="5" t="s">
        <v>602</v>
      </c>
      <c r="K16" s="8" t="n">
        <v>0.0555671296296296</v>
      </c>
      <c r="L16" s="25" t="n">
        <v>0.24</v>
      </c>
      <c r="M16" s="5" t="s">
        <v>603</v>
      </c>
      <c r="N16" s="8" t="n">
        <v>0.0740972222222222</v>
      </c>
      <c r="O16" s="25" t="n">
        <v>0.32</v>
      </c>
      <c r="P16" s="5" t="s">
        <v>604</v>
      </c>
      <c r="Q16" s="8" t="n">
        <v>0.0589583333333333</v>
      </c>
      <c r="R16" s="25" t="n">
        <v>0.25</v>
      </c>
    </row>
    <row r="17" customFormat="false" ht="15" hidden="false" customHeight="true" outlineLevel="0" collapsed="false">
      <c r="A17" s="5" t="s">
        <v>77</v>
      </c>
      <c r="B17" s="6" t="s">
        <v>74</v>
      </c>
      <c r="C17" s="5" t="s">
        <v>35</v>
      </c>
      <c r="D17" s="5" t="s">
        <v>600</v>
      </c>
      <c r="E17" s="8" t="n">
        <v>0</v>
      </c>
      <c r="F17" s="25" t="n">
        <v>0</v>
      </c>
      <c r="G17" s="5" t="s">
        <v>601</v>
      </c>
      <c r="H17" s="8" t="n">
        <v>0</v>
      </c>
      <c r="I17" s="25" t="n">
        <v>0</v>
      </c>
      <c r="J17" s="5" t="s">
        <v>602</v>
      </c>
      <c r="K17" s="8" t="n">
        <v>0.00175925925925926</v>
      </c>
      <c r="L17" s="25" t="n">
        <v>0.01</v>
      </c>
      <c r="M17" s="5" t="s">
        <v>603</v>
      </c>
      <c r="N17" s="8" t="n">
        <v>0.0521180555555556</v>
      </c>
      <c r="O17" s="25" t="n">
        <v>0.4</v>
      </c>
      <c r="P17" s="5" t="s">
        <v>604</v>
      </c>
      <c r="Q17" s="8" t="n">
        <v>0.0650810185185185</v>
      </c>
      <c r="R17" s="25" t="n">
        <v>0.5</v>
      </c>
    </row>
    <row r="18" customFormat="false" ht="15" hidden="false" customHeight="true" outlineLevel="0" collapsed="false">
      <c r="A18" s="5" t="s">
        <v>77</v>
      </c>
      <c r="B18" s="6" t="s">
        <v>74</v>
      </c>
      <c r="C18" s="5" t="s">
        <v>35</v>
      </c>
      <c r="D18" s="5" t="s">
        <v>600</v>
      </c>
      <c r="E18" s="8" t="n">
        <v>0</v>
      </c>
      <c r="F18" s="25" t="n">
        <v>0</v>
      </c>
      <c r="G18" s="5" t="s">
        <v>601</v>
      </c>
      <c r="H18" s="8" t="n">
        <v>0.000231481481481482</v>
      </c>
      <c r="I18" s="25" t="n">
        <v>0</v>
      </c>
      <c r="J18" s="5" t="s">
        <v>602</v>
      </c>
      <c r="K18" s="8" t="n">
        <v>0.0242708333333333</v>
      </c>
      <c r="L18" s="25" t="n">
        <v>0.16</v>
      </c>
      <c r="M18" s="5" t="s">
        <v>603</v>
      </c>
      <c r="N18" s="8" t="n">
        <v>0.0953009259259259</v>
      </c>
      <c r="O18" s="25" t="n">
        <v>0.63</v>
      </c>
      <c r="P18" s="5" t="s">
        <v>604</v>
      </c>
      <c r="Q18" s="8" t="n">
        <v>0.0227546296296296</v>
      </c>
      <c r="R18" s="25" t="n">
        <v>0.15</v>
      </c>
    </row>
    <row r="19" customFormat="false" ht="15" hidden="false" customHeight="true" outlineLevel="0" collapsed="false">
      <c r="A19" s="5" t="s">
        <v>77</v>
      </c>
      <c r="B19" s="6" t="s">
        <v>74</v>
      </c>
      <c r="C19" s="5" t="s">
        <v>35</v>
      </c>
      <c r="D19" s="5" t="s">
        <v>600</v>
      </c>
      <c r="E19" s="8" t="n">
        <v>0</v>
      </c>
      <c r="F19" s="25" t="n">
        <v>0</v>
      </c>
      <c r="G19" s="5" t="s">
        <v>601</v>
      </c>
      <c r="H19" s="8" t="n">
        <v>0</v>
      </c>
      <c r="I19" s="25" t="n">
        <v>0</v>
      </c>
      <c r="J19" s="5" t="s">
        <v>602</v>
      </c>
      <c r="K19" s="8" t="n">
        <v>0.0119560185185185</v>
      </c>
      <c r="L19" s="25" t="n">
        <v>0.14</v>
      </c>
      <c r="M19" s="5" t="s">
        <v>603</v>
      </c>
      <c r="N19" s="8" t="n">
        <v>0.0379976851851852</v>
      </c>
      <c r="O19" s="25" t="n">
        <v>0.45</v>
      </c>
      <c r="P19" s="5" t="s">
        <v>604</v>
      </c>
      <c r="Q19" s="8" t="n">
        <v>0.0296759259259259</v>
      </c>
      <c r="R19" s="25" t="n">
        <v>0.35</v>
      </c>
    </row>
    <row r="20" customFormat="false" ht="15" hidden="false" customHeight="true" outlineLevel="0" collapsed="false">
      <c r="A20" s="5" t="s">
        <v>85</v>
      </c>
      <c r="B20" s="6" t="s">
        <v>54</v>
      </c>
      <c r="C20" s="5" t="s">
        <v>35</v>
      </c>
      <c r="D20" s="5" t="s">
        <v>600</v>
      </c>
      <c r="E20" s="8" t="n">
        <v>0</v>
      </c>
      <c r="F20" s="25" t="n">
        <v>0</v>
      </c>
      <c r="G20" s="5" t="s">
        <v>601</v>
      </c>
      <c r="H20" s="8" t="n">
        <v>0</v>
      </c>
      <c r="I20" s="25" t="n">
        <v>0</v>
      </c>
      <c r="J20" s="5" t="s">
        <v>602</v>
      </c>
      <c r="K20" s="8" t="n">
        <v>0.0174189814814815</v>
      </c>
      <c r="L20" s="25" t="n">
        <v>0.16</v>
      </c>
      <c r="M20" s="5" t="s">
        <v>603</v>
      </c>
      <c r="N20" s="8" t="n">
        <v>0.080625</v>
      </c>
      <c r="O20" s="25" t="n">
        <v>0.78</v>
      </c>
      <c r="P20" s="5" t="s">
        <v>604</v>
      </c>
      <c r="Q20" s="8" t="n">
        <v>0.0050462962962963</v>
      </c>
      <c r="R20" s="25" t="n">
        <v>0.04</v>
      </c>
    </row>
    <row r="21" customFormat="false" ht="15" hidden="false" customHeight="true" outlineLevel="0" collapsed="false">
      <c r="A21" s="5" t="s">
        <v>85</v>
      </c>
      <c r="B21" s="6" t="s">
        <v>54</v>
      </c>
      <c r="C21" s="5" t="s">
        <v>35</v>
      </c>
      <c r="D21" s="5" t="s">
        <v>600</v>
      </c>
      <c r="E21" s="8" t="n">
        <v>0</v>
      </c>
      <c r="F21" s="25" t="n">
        <v>0</v>
      </c>
      <c r="G21" s="5" t="s">
        <v>601</v>
      </c>
      <c r="H21" s="8" t="n">
        <v>0.0009375</v>
      </c>
      <c r="I21" s="25" t="n">
        <v>0</v>
      </c>
      <c r="J21" s="5" t="s">
        <v>602</v>
      </c>
      <c r="K21" s="8" t="n">
        <v>0.0383449074074074</v>
      </c>
      <c r="L21" s="25" t="n">
        <v>0.32</v>
      </c>
      <c r="M21" s="5" t="s">
        <v>603</v>
      </c>
      <c r="N21" s="8" t="n">
        <v>0.0644675925925926</v>
      </c>
      <c r="O21" s="25" t="n">
        <v>0.54</v>
      </c>
      <c r="P21" s="5" t="s">
        <v>604</v>
      </c>
      <c r="Q21" s="8" t="n">
        <v>0.0138194444444444</v>
      </c>
      <c r="R21" s="25" t="n">
        <v>0.11</v>
      </c>
    </row>
    <row r="22" customFormat="false" ht="15" hidden="false" customHeight="true" outlineLevel="0" collapsed="false">
      <c r="A22" s="5" t="s">
        <v>92</v>
      </c>
      <c r="B22" s="6" t="s">
        <v>54</v>
      </c>
      <c r="C22" s="5" t="s">
        <v>35</v>
      </c>
      <c r="D22" s="5" t="s">
        <v>595</v>
      </c>
      <c r="E22" s="8" t="n">
        <v>0</v>
      </c>
      <c r="F22" s="25" t="n">
        <v>0</v>
      </c>
      <c r="G22" s="5" t="s">
        <v>605</v>
      </c>
      <c r="H22" s="8" t="n">
        <v>0.00274305555555556</v>
      </c>
      <c r="I22" s="25" t="n">
        <v>0.01</v>
      </c>
      <c r="J22" s="5" t="s">
        <v>606</v>
      </c>
      <c r="K22" s="8" t="n">
        <v>0.102071759259259</v>
      </c>
      <c r="L22" s="25" t="n">
        <v>0.59</v>
      </c>
      <c r="M22" s="5" t="s">
        <v>607</v>
      </c>
      <c r="N22" s="8" t="n">
        <v>0.0596064814814815</v>
      </c>
      <c r="O22" s="25" t="n">
        <v>0.34</v>
      </c>
      <c r="P22" s="5" t="s">
        <v>608</v>
      </c>
      <c r="Q22" s="8" t="n">
        <v>0.00826388888888889</v>
      </c>
      <c r="R22" s="25" t="n">
        <v>0.04</v>
      </c>
    </row>
    <row r="23" customFormat="false" ht="15" hidden="false" customHeight="true" outlineLevel="0" collapsed="false">
      <c r="A23" s="11" t="s">
        <v>96</v>
      </c>
      <c r="B23" s="12" t="s">
        <v>98</v>
      </c>
      <c r="C23" s="11" t="s">
        <v>99</v>
      </c>
      <c r="D23" s="11" t="s">
        <v>595</v>
      </c>
      <c r="E23" s="14" t="n">
        <v>0</v>
      </c>
      <c r="F23" s="26" t="n">
        <v>0</v>
      </c>
      <c r="G23" s="11" t="s">
        <v>596</v>
      </c>
      <c r="H23" s="14" t="n">
        <v>0.00427083333333333</v>
      </c>
      <c r="I23" s="26" t="n">
        <v>0.01</v>
      </c>
      <c r="J23" s="11" t="s">
        <v>597</v>
      </c>
      <c r="K23" s="14" t="n">
        <v>0.137928240740741</v>
      </c>
      <c r="L23" s="26" t="n">
        <v>0.4</v>
      </c>
      <c r="M23" s="11" t="s">
        <v>598</v>
      </c>
      <c r="N23" s="14" t="n">
        <v>0.146886574074074</v>
      </c>
      <c r="O23" s="26" t="n">
        <v>0.43</v>
      </c>
      <c r="P23" s="11" t="s">
        <v>599</v>
      </c>
      <c r="Q23" s="14" t="n">
        <v>0.0457986111111111</v>
      </c>
      <c r="R23" s="26" t="n">
        <v>0.13</v>
      </c>
    </row>
    <row r="24" customFormat="false" ht="15" hidden="false" customHeight="true" outlineLevel="0" collapsed="false">
      <c r="A24" s="11" t="s">
        <v>104</v>
      </c>
      <c r="B24" s="12" t="s">
        <v>106</v>
      </c>
      <c r="C24" s="11" t="s">
        <v>99</v>
      </c>
      <c r="D24" s="11" t="s">
        <v>595</v>
      </c>
      <c r="E24" s="14" t="n">
        <v>0</v>
      </c>
      <c r="F24" s="26" t="n">
        <v>0</v>
      </c>
      <c r="G24" s="11" t="s">
        <v>596</v>
      </c>
      <c r="H24" s="14" t="n">
        <v>0</v>
      </c>
      <c r="I24" s="26" t="n">
        <v>0</v>
      </c>
      <c r="J24" s="11" t="s">
        <v>597</v>
      </c>
      <c r="K24" s="14" t="n">
        <v>0.00407407407407407</v>
      </c>
      <c r="L24" s="26" t="n">
        <v>0.1</v>
      </c>
      <c r="M24" s="11" t="s">
        <v>598</v>
      </c>
      <c r="N24" s="14" t="n">
        <v>0.0170949074074074</v>
      </c>
      <c r="O24" s="26" t="n">
        <v>0.43</v>
      </c>
      <c r="P24" s="11" t="s">
        <v>599</v>
      </c>
      <c r="Q24" s="14" t="n">
        <v>0.0146412037037037</v>
      </c>
      <c r="R24" s="26" t="n">
        <v>0.36</v>
      </c>
    </row>
    <row r="25" customFormat="false" ht="15" hidden="false" customHeight="true" outlineLevel="0" collapsed="false">
      <c r="A25" s="11" t="s">
        <v>109</v>
      </c>
      <c r="B25" s="12" t="s">
        <v>106</v>
      </c>
      <c r="C25" s="11" t="s">
        <v>99</v>
      </c>
      <c r="D25" s="11" t="s">
        <v>609</v>
      </c>
      <c r="E25" s="14" t="n">
        <v>0</v>
      </c>
      <c r="F25" s="26" t="n">
        <v>0</v>
      </c>
      <c r="G25" s="11" t="s">
        <v>610</v>
      </c>
      <c r="H25" s="14" t="n">
        <v>0.00190972222222222</v>
      </c>
      <c r="I25" s="26" t="n">
        <v>0</v>
      </c>
      <c r="J25" s="11" t="s">
        <v>611</v>
      </c>
      <c r="K25" s="14" t="n">
        <v>0.111840277777778</v>
      </c>
      <c r="L25" s="26" t="n">
        <v>0.32</v>
      </c>
      <c r="M25" s="11" t="s">
        <v>612</v>
      </c>
      <c r="N25" s="14" t="n">
        <v>0.182928240740741</v>
      </c>
      <c r="O25" s="26" t="n">
        <v>0.52</v>
      </c>
      <c r="P25" s="11" t="s">
        <v>613</v>
      </c>
      <c r="Q25" s="14" t="n">
        <v>0.0487384259259259</v>
      </c>
      <c r="R25" s="26" t="n">
        <v>0.13</v>
      </c>
    </row>
    <row r="26" customFormat="false" ht="15" hidden="false" customHeight="true" outlineLevel="0" collapsed="false">
      <c r="A26" s="11" t="s">
        <v>114</v>
      </c>
      <c r="B26" s="12" t="s">
        <v>106</v>
      </c>
      <c r="C26" s="11" t="s">
        <v>99</v>
      </c>
      <c r="D26" s="11" t="s">
        <v>609</v>
      </c>
      <c r="E26" s="14" t="n">
        <v>0</v>
      </c>
      <c r="F26" s="26" t="n">
        <v>0</v>
      </c>
      <c r="G26" s="11" t="s">
        <v>610</v>
      </c>
      <c r="H26" s="14" t="n">
        <v>3.47222222222222E-005</v>
      </c>
      <c r="I26" s="26" t="n">
        <v>0</v>
      </c>
      <c r="J26" s="11" t="s">
        <v>611</v>
      </c>
      <c r="K26" s="14" t="n">
        <v>0.0234143518518519</v>
      </c>
      <c r="L26" s="26" t="n">
        <v>0.15</v>
      </c>
      <c r="M26" s="11" t="s">
        <v>612</v>
      </c>
      <c r="N26" s="14" t="n">
        <v>0.0964814814814815</v>
      </c>
      <c r="O26" s="26" t="n">
        <v>0.63</v>
      </c>
      <c r="P26" s="11" t="s">
        <v>613</v>
      </c>
      <c r="Q26" s="14" t="n">
        <v>0.0300347222222222</v>
      </c>
      <c r="R26" s="26" t="n">
        <v>0.19</v>
      </c>
    </row>
    <row r="27" customFormat="false" ht="15" hidden="false" customHeight="true" outlineLevel="0" collapsed="false">
      <c r="A27" s="11" t="s">
        <v>119</v>
      </c>
      <c r="B27" s="12" t="s">
        <v>121</v>
      </c>
      <c r="C27" s="11" t="s">
        <v>99</v>
      </c>
      <c r="D27" s="11" t="s">
        <v>614</v>
      </c>
      <c r="E27" s="14" t="n">
        <v>0</v>
      </c>
      <c r="F27" s="26" t="n">
        <v>0</v>
      </c>
      <c r="G27" s="11" t="s">
        <v>615</v>
      </c>
      <c r="H27" s="14" t="n">
        <v>0.0119444444444445</v>
      </c>
      <c r="I27" s="26" t="n">
        <v>0.04</v>
      </c>
      <c r="J27" s="11" t="s">
        <v>616</v>
      </c>
      <c r="K27" s="14" t="n">
        <v>0.077650462962963</v>
      </c>
      <c r="L27" s="26" t="n">
        <v>0.3</v>
      </c>
      <c r="M27" s="11" t="s">
        <v>617</v>
      </c>
      <c r="N27" s="14" t="n">
        <v>0.132951388888889</v>
      </c>
      <c r="O27" s="26" t="n">
        <v>0.52</v>
      </c>
      <c r="P27" s="11" t="s">
        <v>618</v>
      </c>
      <c r="Q27" s="14" t="n">
        <v>0.0313773148148148</v>
      </c>
      <c r="R27" s="26" t="n">
        <v>0.12</v>
      </c>
    </row>
    <row r="28" customFormat="false" ht="15" hidden="false" customHeight="true" outlineLevel="0" collapsed="false">
      <c r="A28" s="5" t="s">
        <v>124</v>
      </c>
      <c r="B28" s="6" t="s">
        <v>126</v>
      </c>
      <c r="C28" s="5" t="s">
        <v>35</v>
      </c>
      <c r="D28" s="5" t="s">
        <v>614</v>
      </c>
      <c r="E28" s="8" t="n">
        <v>0</v>
      </c>
      <c r="F28" s="25" t="n">
        <v>0</v>
      </c>
      <c r="G28" s="5" t="s">
        <v>615</v>
      </c>
      <c r="H28" s="8" t="n">
        <v>0.0202662037037037</v>
      </c>
      <c r="I28" s="25" t="n">
        <v>0.08</v>
      </c>
      <c r="J28" s="5" t="s">
        <v>616</v>
      </c>
      <c r="K28" s="8" t="n">
        <v>0.106909722222222</v>
      </c>
      <c r="L28" s="25" t="n">
        <v>0.45</v>
      </c>
      <c r="M28" s="5" t="s">
        <v>617</v>
      </c>
      <c r="N28" s="8" t="n">
        <v>0.0604861111111111</v>
      </c>
      <c r="O28" s="25" t="n">
        <v>0.25</v>
      </c>
      <c r="P28" s="5" t="s">
        <v>618</v>
      </c>
      <c r="Q28" s="8" t="n">
        <v>0.0487152777777778</v>
      </c>
      <c r="R28" s="25" t="n">
        <v>0.2</v>
      </c>
    </row>
    <row r="29" customFormat="false" ht="15" hidden="false" customHeight="true" outlineLevel="0" collapsed="false">
      <c r="A29" s="5" t="s">
        <v>128</v>
      </c>
      <c r="B29" s="6" t="s">
        <v>126</v>
      </c>
      <c r="C29" s="5" t="s">
        <v>35</v>
      </c>
      <c r="D29" s="5" t="s">
        <v>614</v>
      </c>
      <c r="E29" s="8" t="n">
        <v>0</v>
      </c>
      <c r="F29" s="25" t="n">
        <v>0</v>
      </c>
      <c r="G29" s="5" t="s">
        <v>615</v>
      </c>
      <c r="H29" s="8" t="n">
        <v>0</v>
      </c>
      <c r="I29" s="25" t="n">
        <v>0</v>
      </c>
      <c r="J29" s="5" t="s">
        <v>616</v>
      </c>
      <c r="K29" s="8" t="n">
        <v>0.00146990740740741</v>
      </c>
      <c r="L29" s="25" t="n">
        <v>0.01</v>
      </c>
      <c r="M29" s="5" t="s">
        <v>617</v>
      </c>
      <c r="N29" s="8" t="n">
        <v>0.0943981481481482</v>
      </c>
      <c r="O29" s="25" t="n">
        <v>0.68</v>
      </c>
      <c r="P29" s="5" t="s">
        <v>618</v>
      </c>
      <c r="Q29" s="8" t="n">
        <v>0.0295023148148148</v>
      </c>
      <c r="R29" s="25" t="n">
        <v>0.21</v>
      </c>
    </row>
    <row r="31" customFormat="false" ht="15" hidden="false" customHeight="true" outlineLevel="0" collapsed="false">
      <c r="A31" s="3" t="s">
        <v>619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"/>
    <col collapsed="false" customWidth="true" hidden="false" outlineLevel="0" max="2" min="2" style="1" width="26"/>
    <col collapsed="false" customWidth="true" hidden="false" outlineLevel="0" max="3" min="3" style="1" width="13"/>
    <col collapsed="false" customWidth="true" hidden="false" outlineLevel="0" max="4" min="4" style="1" width="10"/>
    <col collapsed="false" customWidth="true" hidden="false" outlineLevel="0" max="5" min="5" style="1" width="7"/>
    <col collapsed="false" customWidth="true" hidden="false" outlineLevel="0" max="6" min="6" style="1" width="13"/>
    <col collapsed="false" customWidth="true" hidden="false" outlineLevel="0" max="7" min="7" style="1" width="10"/>
    <col collapsed="false" customWidth="true" hidden="false" outlineLevel="0" max="8" min="8" style="1" width="7"/>
    <col collapsed="false" customWidth="true" hidden="false" outlineLevel="0" max="9" min="9" style="1" width="13"/>
    <col collapsed="false" customWidth="true" hidden="false" outlineLevel="0" max="10" min="10" style="1" width="10"/>
    <col collapsed="false" customWidth="true" hidden="false" outlineLevel="0" max="11" min="11" style="1" width="7"/>
    <col collapsed="false" customWidth="true" hidden="false" outlineLevel="0" max="12" min="12" style="1" width="13"/>
    <col collapsed="false" customWidth="true" hidden="false" outlineLevel="0" max="13" min="13" style="1" width="10"/>
    <col collapsed="false" customWidth="true" hidden="false" outlineLevel="0" max="14" min="14" style="1" width="7"/>
    <col collapsed="false" customWidth="true" hidden="false" outlineLevel="0" max="15" min="15" style="1" width="13"/>
    <col collapsed="false" customWidth="true" hidden="false" outlineLevel="0" max="16" min="16" style="1" width="10"/>
    <col collapsed="false" customWidth="true" hidden="false" outlineLevel="0" max="17" min="17" style="1" width="7"/>
  </cols>
  <sheetData>
    <row r="1" customFormat="false" ht="17.25" hidden="false" customHeight="true" outlineLevel="0" collapsed="false">
      <c r="A1" s="2" t="s">
        <v>620</v>
      </c>
    </row>
    <row r="2" customFormat="false" ht="15" hidden="false" customHeight="true" outlineLevel="0" collapsed="false">
      <c r="A2" s="3" t="s">
        <v>621</v>
      </c>
    </row>
    <row r="4" customFormat="false" ht="31.5" hidden="false" customHeight="true" outlineLevel="0" collapsed="false">
      <c r="A4" s="4" t="s">
        <v>3</v>
      </c>
      <c r="B4" s="4" t="s">
        <v>5</v>
      </c>
      <c r="C4" s="4" t="s">
        <v>622</v>
      </c>
      <c r="D4" s="4" t="s">
        <v>623</v>
      </c>
      <c r="E4" s="4" t="s">
        <v>624</v>
      </c>
      <c r="F4" s="4" t="s">
        <v>625</v>
      </c>
      <c r="G4" s="4" t="s">
        <v>626</v>
      </c>
      <c r="H4" s="4" t="s">
        <v>627</v>
      </c>
      <c r="I4" s="4" t="s">
        <v>628</v>
      </c>
      <c r="J4" s="4" t="s">
        <v>629</v>
      </c>
      <c r="K4" s="4" t="s">
        <v>630</v>
      </c>
      <c r="L4" s="4" t="s">
        <v>631</v>
      </c>
      <c r="M4" s="4" t="s">
        <v>632</v>
      </c>
      <c r="N4" s="4" t="s">
        <v>633</v>
      </c>
      <c r="O4" s="4" t="s">
        <v>634</v>
      </c>
      <c r="P4" s="4" t="s">
        <v>635</v>
      </c>
      <c r="Q4" s="4" t="s">
        <v>636</v>
      </c>
    </row>
    <row r="5" customFormat="false" ht="15" hidden="false" customHeight="true" outlineLevel="0" collapsed="false">
      <c r="A5" s="11" t="s">
        <v>96</v>
      </c>
      <c r="B5" s="12" t="s">
        <v>98</v>
      </c>
      <c r="C5" s="11" t="s">
        <v>637</v>
      </c>
      <c r="D5" s="14" t="n">
        <v>0.00907407407407408</v>
      </c>
      <c r="E5" s="26" t="n">
        <v>0.02</v>
      </c>
      <c r="F5" s="11" t="s">
        <v>638</v>
      </c>
      <c r="G5" s="14" t="n">
        <v>0.00436342592592593</v>
      </c>
      <c r="H5" s="26" t="n">
        <v>0.01</v>
      </c>
      <c r="I5" s="11" t="s">
        <v>639</v>
      </c>
      <c r="J5" s="14" t="n">
        <v>0.00292824074074074</v>
      </c>
      <c r="K5" s="26" t="n">
        <v>0</v>
      </c>
      <c r="L5" s="11" t="s">
        <v>640</v>
      </c>
      <c r="M5" s="14" t="n">
        <v>0.00486111111111111</v>
      </c>
      <c r="N5" s="26" t="n">
        <v>0.01</v>
      </c>
      <c r="O5" s="11" t="s">
        <v>641</v>
      </c>
      <c r="P5" s="14" t="n">
        <v>0.0104050925925926</v>
      </c>
      <c r="Q5" s="26" t="n">
        <v>0.03</v>
      </c>
    </row>
    <row r="6" customFormat="false" ht="15" hidden="false" customHeight="true" outlineLevel="0" collapsed="false">
      <c r="A6" s="11" t="s">
        <v>104</v>
      </c>
      <c r="B6" s="12" t="s">
        <v>106</v>
      </c>
      <c r="C6" s="11" t="s">
        <v>637</v>
      </c>
      <c r="D6" s="14" t="n">
        <v>0.00142361111111111</v>
      </c>
      <c r="E6" s="26" t="n">
        <v>0.03</v>
      </c>
      <c r="F6" s="11" t="s">
        <v>638</v>
      </c>
      <c r="G6" s="14" t="n">
        <v>0.0021875</v>
      </c>
      <c r="H6" s="26" t="n">
        <v>0.05</v>
      </c>
      <c r="I6" s="11" t="s">
        <v>639</v>
      </c>
      <c r="J6" s="14" t="n">
        <v>0.00239583333333333</v>
      </c>
      <c r="K6" s="26" t="n">
        <v>0.06</v>
      </c>
      <c r="L6" s="11" t="s">
        <v>640</v>
      </c>
      <c r="M6" s="14" t="n">
        <v>0.0031712962962963</v>
      </c>
      <c r="N6" s="26" t="n">
        <v>0.08</v>
      </c>
      <c r="O6" s="11" t="s">
        <v>641</v>
      </c>
      <c r="P6" s="14" t="n">
        <v>0.00721064814814815</v>
      </c>
      <c r="Q6" s="26" t="n">
        <v>0.18</v>
      </c>
    </row>
    <row r="7" customFormat="false" ht="15" hidden="false" customHeight="true" outlineLevel="0" collapsed="false">
      <c r="A7" s="11" t="s">
        <v>109</v>
      </c>
      <c r="B7" s="12" t="s">
        <v>106</v>
      </c>
      <c r="C7" s="11" t="s">
        <v>637</v>
      </c>
      <c r="D7" s="14" t="n">
        <v>0.00778935185185185</v>
      </c>
      <c r="E7" s="26" t="n">
        <v>0.02</v>
      </c>
      <c r="F7" s="11" t="s">
        <v>638</v>
      </c>
      <c r="G7" s="14" t="n">
        <v>0.00851851851851852</v>
      </c>
      <c r="H7" s="26" t="n">
        <v>0.02</v>
      </c>
      <c r="I7" s="11" t="s">
        <v>639</v>
      </c>
      <c r="J7" s="14" t="n">
        <v>0.0123263888888889</v>
      </c>
      <c r="K7" s="26" t="n">
        <v>0.03</v>
      </c>
      <c r="L7" s="11" t="s">
        <v>640</v>
      </c>
      <c r="M7" s="14" t="n">
        <v>0.0244560185185185</v>
      </c>
      <c r="N7" s="26" t="n">
        <v>0.07</v>
      </c>
      <c r="O7" s="11" t="s">
        <v>641</v>
      </c>
      <c r="P7" s="14" t="n">
        <v>0.0304166666666667</v>
      </c>
      <c r="Q7" s="26" t="n">
        <v>0.08</v>
      </c>
    </row>
    <row r="8" customFormat="false" ht="15" hidden="false" customHeight="true" outlineLevel="0" collapsed="false">
      <c r="A8" s="11" t="s">
        <v>114</v>
      </c>
      <c r="B8" s="12" t="s">
        <v>106</v>
      </c>
      <c r="C8" s="11" t="s">
        <v>637</v>
      </c>
      <c r="D8" s="14" t="n">
        <v>0.00283564814814815</v>
      </c>
      <c r="E8" s="26" t="n">
        <v>0.01</v>
      </c>
      <c r="F8" s="11" t="s">
        <v>638</v>
      </c>
      <c r="G8" s="14" t="n">
        <v>0.00447916666666667</v>
      </c>
      <c r="H8" s="26" t="n">
        <v>0.02</v>
      </c>
      <c r="I8" s="11" t="s">
        <v>639</v>
      </c>
      <c r="J8" s="14" t="n">
        <v>0.0055787037037037</v>
      </c>
      <c r="K8" s="26" t="n">
        <v>0.03</v>
      </c>
      <c r="L8" s="11" t="s">
        <v>640</v>
      </c>
      <c r="M8" s="14" t="n">
        <v>0.00936342592592593</v>
      </c>
      <c r="N8" s="26" t="n">
        <v>0.06</v>
      </c>
      <c r="O8" s="11" t="s">
        <v>641</v>
      </c>
      <c r="P8" s="14" t="n">
        <v>0.0218402777777778</v>
      </c>
      <c r="Q8" s="26" t="n">
        <v>0.14</v>
      </c>
    </row>
    <row r="9" customFormat="false" ht="15" hidden="false" customHeight="true" outlineLevel="0" collapsed="false">
      <c r="A9" s="11" t="s">
        <v>119</v>
      </c>
      <c r="B9" s="12" t="s">
        <v>121</v>
      </c>
      <c r="C9" s="11" t="s">
        <v>637</v>
      </c>
      <c r="D9" s="14" t="n">
        <v>0.00277777777777778</v>
      </c>
      <c r="E9" s="26" t="n">
        <v>0.01</v>
      </c>
      <c r="F9" s="11" t="s">
        <v>638</v>
      </c>
      <c r="G9" s="14" t="n">
        <v>0.00149305555555556</v>
      </c>
      <c r="H9" s="26" t="n">
        <v>0</v>
      </c>
      <c r="I9" s="11" t="s">
        <v>639</v>
      </c>
      <c r="J9" s="14" t="n">
        <v>0.00190972222222222</v>
      </c>
      <c r="K9" s="26" t="n">
        <v>0</v>
      </c>
      <c r="L9" s="11" t="s">
        <v>640</v>
      </c>
      <c r="M9" s="14" t="n">
        <v>0.00287037037037037</v>
      </c>
      <c r="N9" s="26" t="n">
        <v>0.01</v>
      </c>
      <c r="O9" s="11" t="s">
        <v>641</v>
      </c>
      <c r="P9" s="14" t="n">
        <v>0.00863425925925926</v>
      </c>
      <c r="Q9" s="26" t="n">
        <v>0.03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4"/>
    <col collapsed="false" customWidth="true" hidden="false" outlineLevel="0" max="5" min="2" style="1" width="15"/>
    <col collapsed="false" customWidth="true" hidden="false" outlineLevel="0" max="6" min="6" style="1" width="54"/>
  </cols>
  <sheetData>
    <row r="1" customFormat="false" ht="17.25" hidden="false" customHeight="true" outlineLevel="0" collapsed="false">
      <c r="A1" s="2" t="s">
        <v>642</v>
      </c>
    </row>
    <row r="2" customFormat="false" ht="15" hidden="false" customHeight="true" outlineLevel="0" collapsed="false">
      <c r="A2" s="3" t="s">
        <v>643</v>
      </c>
    </row>
    <row r="4" customFormat="false" ht="15" hidden="false" customHeight="true" outlineLevel="0" collapsed="false">
      <c r="A4" s="27" t="s">
        <v>644</v>
      </c>
      <c r="B4" s="28"/>
      <c r="C4" s="28"/>
      <c r="D4" s="28"/>
      <c r="E4" s="28"/>
      <c r="F4" s="28"/>
    </row>
    <row r="5" customFormat="false" ht="15" hidden="false" customHeight="true" outlineLevel="0" collapsed="false">
      <c r="A5" s="29" t="s">
        <v>645</v>
      </c>
      <c r="B5" s="30" t="n">
        <f aca="false">COUNTA(Ringkasan!$D$5:$D$29)</f>
        <v>25</v>
      </c>
      <c r="C5" s="31"/>
      <c r="D5" s="31"/>
      <c r="E5" s="31"/>
      <c r="F5" s="32"/>
    </row>
    <row r="6" customFormat="false" ht="15" hidden="false" customHeight="true" outlineLevel="0" collapsed="false">
      <c r="A6" s="29" t="s">
        <v>646</v>
      </c>
      <c r="B6" s="33" t="n">
        <f aca="false">SUM(Ringkasan!$F$5:$F$29)</f>
        <v>161.29</v>
      </c>
      <c r="C6" s="31"/>
      <c r="D6" s="31"/>
      <c r="E6" s="31"/>
      <c r="F6" s="32"/>
    </row>
    <row r="7" customFormat="false" ht="15" hidden="false" customHeight="true" outlineLevel="0" collapsed="false">
      <c r="A7" s="29" t="s">
        <v>647</v>
      </c>
      <c r="B7" s="34" t="n">
        <f aca="false">SUM(Ringkasan!$H$5:$H$29)</f>
        <v>4.32056712962963</v>
      </c>
      <c r="C7" s="31"/>
      <c r="D7" s="31"/>
      <c r="E7" s="31"/>
      <c r="F7" s="32"/>
    </row>
    <row r="8" customFormat="false" ht="15" hidden="false" customHeight="true" outlineLevel="0" collapsed="false">
      <c r="A8" s="29" t="s">
        <v>648</v>
      </c>
      <c r="B8" s="35" t="n">
        <f aca="false">SUM(Ringkasan!$P$5:$P$29)</f>
        <v>11567</v>
      </c>
      <c r="C8" s="31"/>
      <c r="D8" s="31"/>
      <c r="E8" s="31"/>
      <c r="F8" s="32" t="s">
        <v>649</v>
      </c>
    </row>
    <row r="9" customFormat="false" ht="15" hidden="false" customHeight="true" outlineLevel="0" collapsed="false">
      <c r="A9" s="29" t="s">
        <v>650</v>
      </c>
      <c r="B9" s="35" t="n">
        <f aca="false">SUM(Ringkasan!$Q$5:$Q$29)</f>
        <v>11988</v>
      </c>
      <c r="C9" s="31"/>
      <c r="D9" s="31"/>
      <c r="E9" s="31"/>
      <c r="F9" s="32"/>
    </row>
    <row r="10" customFormat="false" ht="15" hidden="false" customHeight="true" outlineLevel="0" collapsed="false">
      <c r="A10" s="29" t="s">
        <v>651</v>
      </c>
      <c r="B10" s="35" t="n">
        <f aca="false">SUM(Ringkasan!$W$5:$W$29)</f>
        <v>33874</v>
      </c>
      <c r="C10" s="31"/>
      <c r="D10" s="31"/>
      <c r="E10" s="31"/>
      <c r="F10" s="32"/>
    </row>
    <row r="12" customFormat="false" ht="15" hidden="false" customHeight="true" outlineLevel="0" collapsed="false">
      <c r="A12" s="27" t="s">
        <v>652</v>
      </c>
      <c r="B12" s="28"/>
      <c r="C12" s="28"/>
      <c r="D12" s="28"/>
      <c r="E12" s="28"/>
      <c r="F12" s="28"/>
    </row>
    <row r="13" customFormat="false" ht="15" hidden="false" customHeight="true" outlineLevel="0" collapsed="false">
      <c r="A13" s="36" t="s">
        <v>653</v>
      </c>
      <c r="B13" s="36" t="s">
        <v>44</v>
      </c>
      <c r="C13" s="36" t="s">
        <v>654</v>
      </c>
      <c r="D13" s="36" t="s">
        <v>655</v>
      </c>
      <c r="E13" s="36"/>
      <c r="F13" s="36"/>
    </row>
    <row r="14" customFormat="false" ht="15" hidden="false" customHeight="true" outlineLevel="0" collapsed="false">
      <c r="A14" s="29" t="s">
        <v>645</v>
      </c>
      <c r="B14" s="37" t="n">
        <f aca="false">COUNTIFS(Ringkasan!$E$5:$E$29,"HIKING")</f>
        <v>20</v>
      </c>
      <c r="C14" s="37" t="n">
        <f aca="false">COUNTIFS(Ringkasan!$E$5:$E$29,"TRAIL RUNNING")</f>
        <v>5</v>
      </c>
      <c r="D14" s="37" t="n">
        <f aca="false">C14-B14</f>
        <v>-15</v>
      </c>
      <c r="E14" s="38"/>
      <c r="F14" s="38"/>
    </row>
    <row r="15" customFormat="false" ht="15" hidden="false" customHeight="true" outlineLevel="0" collapsed="false">
      <c r="A15" s="29" t="s">
        <v>646</v>
      </c>
      <c r="B15" s="39" t="n">
        <f aca="false">SUMIFS(Ringkasan!$F$5:$F$29,Ringkasan!$E$5:$E$29,"HIKING")</f>
        <v>93.26</v>
      </c>
      <c r="C15" s="39" t="n">
        <f aca="false">SUMIFS(Ringkasan!$F$5:$F$29,Ringkasan!$E$5:$E$29,"TRAIL RUNNING")</f>
        <v>68.03</v>
      </c>
      <c r="D15" s="39" t="n">
        <f aca="false">C15-B15</f>
        <v>-25.23</v>
      </c>
      <c r="E15" s="38"/>
      <c r="F15" s="38"/>
    </row>
    <row r="16" customFormat="false" ht="15" hidden="false" customHeight="true" outlineLevel="0" collapsed="false">
      <c r="A16" s="29" t="s">
        <v>656</v>
      </c>
      <c r="B16" s="39" t="n">
        <f aca="false">AVERAGEIFS(Ringkasan!$F$5:$F$29,Ringkasan!$E$5:$E$29,"HIKING")</f>
        <v>4.663</v>
      </c>
      <c r="C16" s="39" t="n">
        <f aca="false">AVERAGEIFS(Ringkasan!$F$5:$F$29,Ringkasan!$E$5:$E$29,"TRAIL RUNNING")</f>
        <v>13.606</v>
      </c>
      <c r="D16" s="39" t="n">
        <f aca="false">C16-B16</f>
        <v>8.943</v>
      </c>
      <c r="E16" s="38"/>
      <c r="F16" s="38"/>
    </row>
    <row r="17" customFormat="false" ht="15" hidden="false" customHeight="true" outlineLevel="0" collapsed="false">
      <c r="A17" s="29" t="s">
        <v>657</v>
      </c>
      <c r="B17" s="40" t="n">
        <f aca="false">SUMIFS(Ringkasan!$H$5:$H$29,Ringkasan!$E$5:$E$29,"HIKING")</f>
        <v>3.18555555555556</v>
      </c>
      <c r="C17" s="40" t="n">
        <f aca="false">SUMIFS(Ringkasan!$H$5:$H$29,Ringkasan!$E$5:$E$29,"TRAIL RUNNING")</f>
        <v>1.13501157407407</v>
      </c>
      <c r="D17" s="40" t="n">
        <f aca="false">C17-B17</f>
        <v>-2.05054398148148</v>
      </c>
      <c r="E17" s="38"/>
      <c r="F17" s="38"/>
    </row>
    <row r="18" customFormat="false" ht="15" hidden="false" customHeight="true" outlineLevel="0" collapsed="false">
      <c r="A18" s="29" t="s">
        <v>658</v>
      </c>
      <c r="B18" s="37" t="n">
        <f aca="false">AVERAGEIFS(Ringkasan!$N$5:$N$29,Ringkasan!$E$5:$E$29,"HIKING")</f>
        <v>136.368421052632</v>
      </c>
      <c r="C18" s="37" t="n">
        <f aca="false">AVERAGEIFS(Ringkasan!$N$5:$N$29,Ringkasan!$E$5:$E$29,"TRAIL RUNNING")</f>
        <v>136.6</v>
      </c>
      <c r="D18" s="37" t="n">
        <f aca="false">C18-B18</f>
        <v>0.231578947368405</v>
      </c>
      <c r="E18" s="38"/>
      <c r="F18" s="38"/>
    </row>
    <row r="19" customFormat="false" ht="15" hidden="false" customHeight="true" outlineLevel="0" collapsed="false">
      <c r="A19" s="29" t="s">
        <v>648</v>
      </c>
      <c r="B19" s="41" t="n">
        <f aca="false">SUMIFS(Ringkasan!$P$5:$P$29,Ringkasan!$E$5:$E$29,"HIKING")</f>
        <v>7897</v>
      </c>
      <c r="C19" s="41" t="n">
        <f aca="false">SUMIFS(Ringkasan!$P$5:$P$29,Ringkasan!$E$5:$E$29,"TRAIL RUNNING")</f>
        <v>3670</v>
      </c>
      <c r="D19" s="41" t="n">
        <f aca="false">C19-B19</f>
        <v>-4227</v>
      </c>
      <c r="E19" s="38"/>
      <c r="F19" s="38"/>
    </row>
    <row r="20" customFormat="false" ht="15" hidden="false" customHeight="true" outlineLevel="0" collapsed="false">
      <c r="A20" s="29" t="s">
        <v>659</v>
      </c>
      <c r="B20" s="41" t="n">
        <f aca="false">AVERAGEIFS(Ringkasan!$W$5:$W$29,Ringkasan!$E$5:$E$29,"HIKING")</f>
        <v>1243</v>
      </c>
      <c r="C20" s="41" t="n">
        <f aca="false">AVERAGEIFS(Ringkasan!$W$5:$W$29,Ringkasan!$E$5:$E$29,"TRAIL RUNNING")</f>
        <v>1802.8</v>
      </c>
      <c r="D20" s="41" t="n">
        <f aca="false">C20-B20</f>
        <v>559.8</v>
      </c>
      <c r="E20" s="38"/>
      <c r="F20" s="38"/>
    </row>
    <row r="22" customFormat="false" ht="15" hidden="false" customHeight="true" outlineLevel="0" collapsed="false">
      <c r="A22" s="27" t="s">
        <v>660</v>
      </c>
      <c r="B22" s="28"/>
      <c r="C22" s="28"/>
      <c r="D22" s="28"/>
      <c r="E22" s="28"/>
      <c r="F22" s="28"/>
    </row>
    <row r="23" customFormat="false" ht="15" hidden="false" customHeight="true" outlineLevel="0" collapsed="false">
      <c r="A23" s="36" t="s">
        <v>661</v>
      </c>
      <c r="B23" s="36" t="s">
        <v>662</v>
      </c>
      <c r="C23" s="36" t="s">
        <v>663</v>
      </c>
      <c r="D23" s="36" t="s">
        <v>648</v>
      </c>
      <c r="E23" s="36" t="s">
        <v>664</v>
      </c>
      <c r="F23" s="36"/>
    </row>
    <row r="24" customFormat="false" ht="15" hidden="false" customHeight="true" outlineLevel="0" collapsed="false">
      <c r="A24" s="29" t="s">
        <v>665</v>
      </c>
      <c r="B24" s="37" t="n">
        <f aca="false">COUNTIFS(Ringkasan!$D$5:$D$29,"*Kerinci*")</f>
        <v>3</v>
      </c>
      <c r="C24" s="39" t="n">
        <f aca="false">SUMIFS(Ringkasan!$F$5:$F$29,Ringkasan!$D$5:$D$29,"*Kerinci*")</f>
        <v>18.35</v>
      </c>
      <c r="D24" s="41" t="n">
        <f aca="false">SUMIFS(Ringkasan!$P$5:$P$29,Ringkasan!$D$5:$D$29,"*Kerinci*")</f>
        <v>2263</v>
      </c>
      <c r="E24" s="40" t="n">
        <f aca="false">SUMIFS(Ringkasan!$H$5:$H$29,Ringkasan!$D$5:$D$29,"*Kerinci*")</f>
        <v>0.729085648148148</v>
      </c>
      <c r="F24" s="38"/>
    </row>
    <row r="25" customFormat="false" ht="15" hidden="false" customHeight="true" outlineLevel="0" collapsed="false">
      <c r="A25" s="29" t="s">
        <v>666</v>
      </c>
      <c r="B25" s="37" t="n">
        <f aca="false">COUNTIFS(Ringkasan!$D$5:$D$29,"*Magelang*")</f>
        <v>4</v>
      </c>
      <c r="C25" s="39" t="n">
        <f aca="false">SUMIFS(Ringkasan!$F$5:$F$29,Ringkasan!$D$5:$D$29,"*Magelang*")</f>
        <v>15.8</v>
      </c>
      <c r="D25" s="41" t="n">
        <f aca="false">SUMIFS(Ringkasan!$P$5:$P$29,Ringkasan!$D$5:$D$29,"*Magelang*")</f>
        <v>1639</v>
      </c>
      <c r="E25" s="40" t="n">
        <f aca="false">SUMIFS(Ringkasan!$H$5:$H$29,Ringkasan!$D$5:$D$29,"*Magelang*")</f>
        <v>0.624224537037037</v>
      </c>
      <c r="F25" s="38"/>
    </row>
    <row r="26" customFormat="false" ht="15" hidden="false" customHeight="true" outlineLevel="0" collapsed="false">
      <c r="A26" s="29" t="s">
        <v>667</v>
      </c>
      <c r="B26" s="37" t="n">
        <f aca="false">COUNTIFS(Ringkasan!$D$5:$D$29,"*Pemalang*")</f>
        <v>4</v>
      </c>
      <c r="C26" s="39" t="n">
        <f aca="false">SUMIFS(Ringkasan!$F$5:$F$29,Ringkasan!$D$5:$D$29,"*Pemalang*")</f>
        <v>13.81</v>
      </c>
      <c r="D26" s="41" t="n">
        <f aca="false">SUMIFS(Ringkasan!$P$5:$P$29,Ringkasan!$D$5:$D$29,"*Pemalang*")</f>
        <v>1497</v>
      </c>
      <c r="E26" s="40" t="n">
        <f aca="false">SUMIFS(Ringkasan!$H$5:$H$29,Ringkasan!$D$5:$D$29,"*Pemalang*")</f>
        <v>0.590092592592593</v>
      </c>
      <c r="F26" s="38"/>
    </row>
    <row r="27" customFormat="false" ht="15" hidden="false" customHeight="true" outlineLevel="0" collapsed="false">
      <c r="A27" s="29" t="s">
        <v>668</v>
      </c>
      <c r="B27" s="37" t="n">
        <f aca="false">COUNTIFS(Ringkasan!$D$5:$D$29,"*Bogor*")</f>
        <v>8</v>
      </c>
      <c r="C27" s="39" t="n">
        <f aca="false">SUMIFS(Ringkasan!$F$5:$F$29,Ringkasan!$D$5:$D$29,"*Bogor*")</f>
        <v>91.66</v>
      </c>
      <c r="D27" s="41" t="n">
        <f aca="false">SUMIFS(Ringkasan!$P$5:$P$29,Ringkasan!$D$5:$D$29,"*Bogor*")</f>
        <v>4383</v>
      </c>
      <c r="E27" s="40" t="n">
        <f aca="false">SUMIFS(Ringkasan!$H$5:$H$29,Ringkasan!$D$5:$D$29,"*Bogor*")</f>
        <v>1.34583333333333</v>
      </c>
      <c r="F27" s="38"/>
    </row>
    <row r="28" customFormat="false" ht="15" hidden="false" customHeight="true" outlineLevel="0" collapsed="false">
      <c r="A28" s="29" t="s">
        <v>669</v>
      </c>
      <c r="B28" s="37" t="n">
        <f aca="false">COUNTIFS(Ringkasan!$D$5:$D$29,"*Purwakarta*")</f>
        <v>1</v>
      </c>
      <c r="C28" s="39" t="n">
        <f aca="false">SUMIFS(Ringkasan!$F$5:$F$29,Ringkasan!$D$5:$D$29,"*Purwakarta*")</f>
        <v>2.56</v>
      </c>
      <c r="D28" s="41" t="n">
        <f aca="false">SUMIFS(Ringkasan!$P$5:$P$29,Ringkasan!$D$5:$D$29,"*Purwakarta*")</f>
        <v>198</v>
      </c>
      <c r="E28" s="40" t="n">
        <f aca="false">SUMIFS(Ringkasan!$H$5:$H$29,Ringkasan!$D$5:$D$29,"*Purwakarta*")</f>
        <v>0.191238425925926</v>
      </c>
      <c r="F28" s="38"/>
    </row>
    <row r="29" customFormat="false" ht="15" hidden="false" customHeight="true" outlineLevel="0" collapsed="false">
      <c r="A29" s="29" t="s">
        <v>670</v>
      </c>
      <c r="B29" s="37" t="n">
        <f aca="false">COUNTIFS(Ringkasan!$D$5:$D$29,"*Wonosobo*")</f>
        <v>3</v>
      </c>
      <c r="C29" s="39" t="n">
        <f aca="false">SUMIFS(Ringkasan!$F$5:$F$29,Ringkasan!$D$5:$D$29,"*Wonosobo*")</f>
        <v>18.85</v>
      </c>
      <c r="D29" s="41" t="n">
        <f aca="false">SUMIFS(Ringkasan!$P$5:$P$29,Ringkasan!$D$5:$D$29,"*Wonosobo*")</f>
        <v>1587</v>
      </c>
      <c r="E29" s="40" t="n">
        <f aca="false">SUMIFS(Ringkasan!$H$5:$H$29,Ringkasan!$D$5:$D$29,"*Wonosobo*")</f>
        <v>0.629247685185185</v>
      </c>
      <c r="F29" s="38"/>
    </row>
    <row r="30" customFormat="false" ht="15" hidden="false" customHeight="true" outlineLevel="0" collapsed="false">
      <c r="A30" s="3" t="s">
        <v>671</v>
      </c>
    </row>
    <row r="32" customFormat="false" ht="15" hidden="false" customHeight="true" outlineLevel="0" collapsed="false">
      <c r="A32" s="27" t="s">
        <v>672</v>
      </c>
      <c r="B32" s="28"/>
      <c r="C32" s="28"/>
      <c r="D32" s="28"/>
      <c r="E32" s="28"/>
      <c r="F32" s="28"/>
    </row>
    <row r="33" customFormat="false" ht="15" hidden="false" customHeight="true" outlineLevel="0" collapsed="false">
      <c r="A33" s="29" t="s">
        <v>673</v>
      </c>
      <c r="B33" s="35" t="n">
        <f aca="false">MAX(Ringkasan!$P$5:$P$29)</f>
        <v>1488</v>
      </c>
      <c r="C33" s="31"/>
      <c r="D33" s="31"/>
      <c r="E33" s="31"/>
      <c r="F33" s="32" t="s">
        <v>674</v>
      </c>
    </row>
    <row r="34" customFormat="false" ht="15" hidden="false" customHeight="true" outlineLevel="0" collapsed="false">
      <c r="A34" s="29" t="s">
        <v>675</v>
      </c>
      <c r="B34" s="33" t="n">
        <f aca="false">MAX(Ringkasan!$F$5:$F$29)</f>
        <v>26.41</v>
      </c>
      <c r="C34" s="31"/>
      <c r="D34" s="31"/>
      <c r="E34" s="31"/>
      <c r="F34" s="32" t="s">
        <v>676</v>
      </c>
    </row>
    <row r="35" customFormat="false" ht="15" hidden="false" customHeight="true" outlineLevel="0" collapsed="false">
      <c r="A35" s="29" t="s">
        <v>677</v>
      </c>
      <c r="B35" s="34" t="n">
        <f aca="false">MAX(Ringkasan!$H$5:$H$29)</f>
        <v>0.397106481481482</v>
      </c>
      <c r="C35" s="31"/>
      <c r="D35" s="31"/>
      <c r="E35" s="31"/>
      <c r="F35" s="32" t="s">
        <v>678</v>
      </c>
    </row>
    <row r="36" customFormat="false" ht="15" hidden="false" customHeight="true" outlineLevel="0" collapsed="false">
      <c r="A36" s="29" t="s">
        <v>679</v>
      </c>
      <c r="B36" s="30" t="n">
        <f aca="false">MAX(Ringkasan!$O$5:$O$29)</f>
        <v>186</v>
      </c>
      <c r="C36" s="31"/>
      <c r="D36" s="31"/>
      <c r="E36" s="31"/>
      <c r="F36" s="32"/>
    </row>
    <row r="37" customFormat="false" ht="15" hidden="false" customHeight="true" outlineLevel="0" collapsed="false">
      <c r="A37" s="29" t="s">
        <v>680</v>
      </c>
      <c r="B37" s="35" t="n">
        <f aca="false">MAX(Ringkasan!$W$5:$W$29)</f>
        <v>3121</v>
      </c>
      <c r="C37" s="31"/>
      <c r="D37" s="31"/>
      <c r="E37" s="31"/>
      <c r="F37" s="32"/>
    </row>
    <row r="38" customFormat="false" ht="15" hidden="false" customHeight="true" outlineLevel="0" collapsed="false">
      <c r="A38" s="29" t="s">
        <v>681</v>
      </c>
      <c r="B38" s="34" t="n">
        <f aca="false">SUM('Time in Zones'!$E$5:$E$29)+SUM('Time in Zones'!$H$5:$H$29)+SUM('Time in Zones'!$K$5:$K$29)</f>
        <v>1.84388888888889</v>
      </c>
      <c r="C38" s="31"/>
      <c r="D38" s="31"/>
      <c r="E38" s="31"/>
      <c r="F38" s="32" t="s">
        <v>682</v>
      </c>
    </row>
    <row r="40" customFormat="false" ht="15" hidden="false" customHeight="true" outlineLevel="0" collapsed="false">
      <c r="A40" s="27" t="s">
        <v>683</v>
      </c>
      <c r="B40" s="28"/>
      <c r="C40" s="28"/>
      <c r="D40" s="28"/>
      <c r="E40" s="28"/>
      <c r="F40" s="28"/>
    </row>
    <row r="41" customFormat="false" ht="33.75" hidden="false" customHeight="true" outlineLevel="0" collapsed="false">
      <c r="A41" s="42" t="s">
        <v>684</v>
      </c>
      <c r="B41" s="42"/>
      <c r="C41" s="42"/>
      <c r="D41" s="42"/>
      <c r="E41" s="42"/>
      <c r="F41" s="42"/>
    </row>
    <row r="42" customFormat="false" ht="33.75" hidden="false" customHeight="true" outlineLevel="0" collapsed="false">
      <c r="A42" s="42" t="s">
        <v>685</v>
      </c>
      <c r="B42" s="42"/>
      <c r="C42" s="42"/>
      <c r="D42" s="42"/>
      <c r="E42" s="42"/>
      <c r="F42" s="42"/>
    </row>
    <row r="43" customFormat="false" ht="33.75" hidden="false" customHeight="true" outlineLevel="0" collapsed="false">
      <c r="A43" s="42" t="s">
        <v>686</v>
      </c>
      <c r="B43" s="42"/>
      <c r="C43" s="42"/>
      <c r="D43" s="42"/>
      <c r="E43" s="42"/>
      <c r="F43" s="42"/>
    </row>
    <row r="44" customFormat="false" ht="33.75" hidden="false" customHeight="true" outlineLevel="0" collapsed="false">
      <c r="A44" s="42" t="s">
        <v>687</v>
      </c>
      <c r="B44" s="42"/>
      <c r="C44" s="42"/>
      <c r="D44" s="42"/>
      <c r="E44" s="42"/>
      <c r="F44" s="42"/>
    </row>
    <row r="45" customFormat="false" ht="33.75" hidden="false" customHeight="true" outlineLevel="0" collapsed="false">
      <c r="A45" s="42" t="s">
        <v>688</v>
      </c>
      <c r="B45" s="42"/>
      <c r="C45" s="42"/>
      <c r="D45" s="42"/>
      <c r="E45" s="42"/>
      <c r="F45" s="42"/>
    </row>
    <row r="46" customFormat="false" ht="33.75" hidden="false" customHeight="true" outlineLevel="0" collapsed="false">
      <c r="A46" s="42" t="s">
        <v>689</v>
      </c>
      <c r="B46" s="42"/>
      <c r="C46" s="42"/>
      <c r="D46" s="42"/>
      <c r="E46" s="42"/>
      <c r="F46" s="42"/>
    </row>
    <row r="47" customFormat="false" ht="33.75" hidden="false" customHeight="true" outlineLevel="0" collapsed="false">
      <c r="A47" s="42" t="s">
        <v>690</v>
      </c>
      <c r="B47" s="42"/>
      <c r="C47" s="42"/>
      <c r="D47" s="42"/>
      <c r="E47" s="42"/>
      <c r="F47" s="42"/>
    </row>
    <row r="48" customFormat="false" ht="33.75" hidden="false" customHeight="true" outlineLevel="0" collapsed="false">
      <c r="A48" s="42" t="s">
        <v>691</v>
      </c>
      <c r="B48" s="42"/>
      <c r="C48" s="42"/>
      <c r="D48" s="42"/>
      <c r="E48" s="42"/>
      <c r="F48" s="42"/>
    </row>
    <row r="49" customFormat="false" ht="33.75" hidden="false" customHeight="true" outlineLevel="0" collapsed="false">
      <c r="A49" s="42" t="s">
        <v>692</v>
      </c>
      <c r="B49" s="42"/>
      <c r="C49" s="42"/>
      <c r="D49" s="42"/>
      <c r="E49" s="42"/>
      <c r="F49" s="42"/>
    </row>
    <row r="51" customFormat="false" ht="15" hidden="false" customHeight="true" outlineLevel="0" collapsed="false">
      <c r="A51" s="3" t="s">
        <v>693</v>
      </c>
    </row>
  </sheetData>
  <mergeCells count="9">
    <mergeCell ref="A41:F41"/>
    <mergeCell ref="A42:F42"/>
    <mergeCell ref="A43:F43"/>
    <mergeCell ref="A44:F44"/>
    <mergeCell ref="A45:F45"/>
    <mergeCell ref="A46:F46"/>
    <mergeCell ref="A47:F47"/>
    <mergeCell ref="A48:F48"/>
    <mergeCell ref="A49:F4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2026-09-17T06:32:34Z</dcterms:created>
  <dc:creator>openpyxl</dc:creator>
  <dc:description/>
  <dc:language>en-US</dc:language>
  <cp:lastModifiedBy/>
  <dcterms:modified xsi:type="dcterms:W3CDTF">2026-09-17T06:34:10Z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